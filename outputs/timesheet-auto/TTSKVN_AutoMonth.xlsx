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b8658a5bf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01" sheetId="33" r:id="R67b45470f0484f04"/>
    <x:sheet xmlns:r="http://schemas.openxmlformats.org/officeDocument/2006/relationships" name="2026年02" sheetId="32" r:id="Rdf8f0ffb56444a9e"/>
    <x:sheet xmlns:r="http://schemas.openxmlformats.org/officeDocument/2006/relationships" name="2026年03" sheetId="30" r:id="R6d45fb8154404c31"/>
    <x:sheet xmlns:r="http://schemas.openxmlformats.org/officeDocument/2006/relationships" name="2026年04" sheetId="31" r:id="R9c61f96973e342cc"/>
    <x:sheet xmlns:r="http://schemas.openxmlformats.org/officeDocument/2006/relationships" name="2026年05" sheetId="35" r:id="R51a7e3175fb54731"/>
    <x:sheet xmlns:r="http://schemas.openxmlformats.org/officeDocument/2006/relationships" name="2026年06" sheetId="36" r:id="R3febb7aec72e42e3"/>
    <x:sheet xmlns:r="http://schemas.openxmlformats.org/officeDocument/2006/relationships" name="2026年07" sheetId="37" r:id="R893f81bd6b2c450a"/>
    <x:sheet xmlns:r="http://schemas.openxmlformats.org/officeDocument/2006/relationships" name="2026年08" sheetId="38" r:id="R64e247bb5dd04713"/>
    <x:sheet xmlns:r="http://schemas.openxmlformats.org/officeDocument/2006/relationships" name="2026年09" sheetId="39" r:id="R6d3d4e29a5504be0"/>
  </x:sheets>
</x:workbook>
</file>

<file path=xl/sharedStrings.xml><?xml version="1.0" encoding="utf-8"?>
<x:sst xmlns:x="http://schemas.openxmlformats.org/spreadsheetml/2006/main">
  <x:si>
    <x:t xml:space="preserve">nghỉ có phép</x:t>
  </x:si>
  <x:si>
    <x:t xml:space="preserve">Giờ bắt đầu</x:t>
  </x:si>
  <x:si>
    <x:t xml:space="preserve">Giờ kết thúc</x:t>
  </x:si>
  <x:si>
    <x:t xml:space="preserve">Giờ nghỉ trưa</x:t>
  </x:si>
  <x:si>
    <x:t xml:space="preserve">Tổng giờ làm việc</x:t>
  </x:si>
  <x:si>
    <x:t xml:space="preserve">Giờ làm việc trực tiếp</x:t>
  </x:si>
  <x:si>
    <x:t xml:space="preserve">Số công trình</x:t>
  </x:si>
  <x:si>
    <x:t xml:space="preserve">Tên công trình</x:t>
  </x:si>
  <x:si>
    <x:t xml:space="preserve">Thời gian làm việc gián tiếp</x:t>
  </x:si>
  <x:si>
    <x:t xml:space="preserve">Nội dung công việc </x:t>
  </x:si>
  <x:si>
    <x:t xml:space="preserve">出勤時間</x:t>
  </x:si>
  <x:si>
    <x:t xml:space="preserve">退勤時間</x:t>
  </x:si>
  <x:si>
    <x:t xml:space="preserve">休憩時間</x:t>
  </x:si>
  <x:si>
    <x:t xml:space="preserve">勤務時間</x:t>
  </x:si>
  <x:si>
    <x:t xml:space="preserve">直接作業</x:t>
  </x:si>
  <x:si>
    <x:t xml:space="preserve">工事番号</x:t>
  </x:si>
  <x:si>
    <x:t xml:space="preserve">物件名</x:t>
  </x:si>
  <x:si>
    <x:t xml:space="preserve">間接作業時間</x:t>
  </x:si>
  <x:si>
    <x:t xml:space="preserve">間接作業内容</x:t>
  </x:si>
  <x:si>
    <x:t xml:space="preserve">Tekla 研修</x:t>
  </x:si>
  <x:si>
    <x:t xml:space="preserve">26-024</x:t>
  </x:si>
  <x:si>
    <x:t xml:space="preserve">ヤクルト球団二軍球場整備計画（建設工事）</x:t>
  </x:si>
  <x:si>
    <x:t xml:space="preserve">ヤクルト球団二軍球場整備計画(建設工事)</x:t>
  </x:si>
  <x:si>
    <x:t xml:space="preserve">27-006</x:t>
  </x:si>
  <x:si>
    <x:t xml:space="preserve">グレープストーン桶川工場　開発棟増築工事</x:t>
  </x:si>
  <x:si>
    <x:t xml:space="preserve">26-020</x:t>
  </x:si>
  <x:si>
    <x:t xml:space="preserve">新宿駅西口地区開発計画　Dビル足場受け鋼材</x:t>
  </x:si>
  <x:si>
    <x:t xml:space="preserve">Ngày nghỉ có phép:</x:t>
  </x:si>
  <x:si>
    <x:t xml:space="preserve">27-011</x:t>
  </x:si>
  <x:si>
    <x:t xml:space="preserve">TOK1_B_B210-B540</x:t>
  </x:si>
  <x:si>
    <x:t xml:space="preserve">27-025</x:t>
  </x:si>
  <x:si>
    <x:t xml:space="preserve">ヒューリック銀座 ワールドタウンビル改修工事（B工事）</x:t>
  </x:si>
  <x:si>
    <x:t xml:space="preserve">27-005</x:t>
  </x:si>
  <x:si>
    <x:t xml:space="preserve">Shinagawa</x:t>
  </x:si>
  <x:si>
    <x:t xml:space="preserve">27-012</x:t>
  </x:si>
  <x:si>
    <x:t xml:space="preserve">TOK1_B_B210-B541</x:t>
  </x:si>
  <x:si>
    <x:t xml:space="preserve">26-021</x:t>
  </x:si>
  <x:si>
    <x:t xml:space="preserve">西麻布三丁目北東地区第一種市街地再開発事業</x:t>
  </x:si>
  <x:si>
    <x:t xml:space="preserve">ヒューリック銀座 ワールドタウンビル</x:t>
  </x:si>
  <x:si>
    <x:t xml:space="preserve">26-027</x:t>
  </x:si>
  <x:si>
    <x:t xml:space="preserve">新宿駅西口地区開発計画　２階スロープ下防護構台</x:t>
  </x:si>
</x:sst>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yyyy&quot;年&quot;m&quot;月&quot;d&quot;日&quot;;@"/>
    <x:numFmt numFmtId="200" formatCode="yyyy&quot;年&quot;m&quot;月&quot;d&quot;日&quot;"/>
  </x:numFmts>
  <x:fonts count="35">
    <x:font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sz val="11"/>
      <x:color theme="0" tint="-0.25"/>
      <x:name val="Calibri"/>
    </x:font>
    <x:font>
      <x:sz val="11"/>
      <x:color theme="0" tint="-0.25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name val="Calibri"/>
    </x:font>
    <x:font>
      <x:sz val="11"/>
      <x:name val="Calibri"/>
    </x:font>
    <x:font>
      <x:sz val="11"/>
      <x:color rgb="FFFF0000"/>
      <x:name val="Calibri"/>
    </x:font>
    <x:font>
      <x:sz val="11"/>
      <x:color rgb="FF081B3A"/>
      <x:name val="Segoe UI"/>
    </x:font>
    <x:font>
      <x:b/>
      <x:sz val="11"/>
      <x:name val="Calibri"/>
    </x:font>
    <x:font>
      <x:sz val="11"/>
      <x:color rgb="FF000000"/>
      <x:name val="Calibri"/>
    </x:font>
    <x:font>
      <x:sz val="11"/>
      <x:color theme="0"/>
      <x:name val="Calibri"/>
    </x:font>
    <x:font>
      <x:sz val="11"/>
      <x:color rgb="FF081B3A"/>
      <x:name val="Calibri"/>
    </x:font>
    <x:font>
      <x:sz val="11"/>
      <x:color rgb="FFFF000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7">
    <x:fill>
      <x:patternFill patternType="none"/>
    </x:fill>
    <x:fill>
      <x:patternFill patternType="gray125"/>
    </x:fill>
    <x:fill>
      <x:patternFill patternType="solid">
        <x:fgColor theme="5" tint="0.39998"/>
      </x:patternFill>
    </x:fill>
    <x:fill>
      <x:patternFill patternType="solid">
        <x:fgColor theme="0" tint="-0.25"/>
      </x:patternFill>
    </x:fill>
    <x:fill>
      <x:patternFill patternType="solid">
        <x:fgColor theme="5" tint="0.4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 tint="-0.24998"/>
      </x:patternFill>
    </x:fill>
    <x:fill>
      <x:patternFill patternType="solid">
        <x:fgColor theme="0" tint="-0.24998"/>
      </x:patternFill>
    </x:fill>
    <x:fill>
      <x:patternFill patternType="solid">
        <x:fgColor rgb="FFFFFFFF"/>
      </x:patternFill>
    </x:fill>
    <x:fill>
      <x:patternFill patternType="solid">
        <x:fgColor rgb="FFF4B084"/>
      </x:patternFill>
    </x:fill>
    <x:fill>
      <x:patternFill patternType="solid">
        <x:fgColor rgb="FFAEAAAA"/>
      </x:patternFill>
    </x:fill>
    <x:fill>
      <x:patternFill patternType="solid">
        <x:fgColor theme="0" tint="-0.34999"/>
      </x:patternFill>
    </x:fill>
    <x:fill>
      <x:patternFill patternType="solid">
        <x:fgColor theme="2" tint="-0.24998"/>
      </x:patternFill>
    </x:fill>
    <x:fill>
      <x:patternFill patternType="solid">
        <x:fgColor theme="0" tint="-0.3499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15" borderId="2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3" applyNumberFormat="0" applyFill="0" applyAlignment="0" applyProtection="0">
      <x:alignment vertical="center"/>
    </x:xf>
    <x:xf numFmtId="0" fontId="22" fillId="0" borderId="3" applyNumberFormat="0" applyFill="0" applyAlignment="0" applyProtection="0">
      <x:alignment vertical="center"/>
    </x:xf>
    <x:xf numFmtId="0" fontId="23" fillId="0" borderId="4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6" borderId="5" applyNumberFormat="0" applyAlignment="0" applyProtection="0">
      <x:alignment vertical="center"/>
    </x:xf>
    <x:xf numFmtId="0" fontId="25" fillId="17" borderId="6" applyNumberFormat="0" applyAlignment="0" applyProtection="0">
      <x:alignment vertical="center"/>
    </x:xf>
    <x:xf numFmtId="0" fontId="26" fillId="17" borderId="5" applyNumberFormat="0" applyAlignment="0" applyProtection="0">
      <x:alignment vertical="center"/>
    </x:xf>
    <x:xf numFmtId="0" fontId="27" fillId="18" borderId="7" applyNumberFormat="0" applyAlignment="0" applyProtection="0">
      <x:alignment vertical="center"/>
    </x:xf>
    <x:xf numFmtId="0" fontId="28" fillId="0" borderId="8" applyNumberFormat="0" applyFill="0" applyAlignment="0" applyProtection="0">
      <x:alignment vertical="center"/>
    </x:xf>
    <x:xf numFmtId="0" fontId="29" fillId="0" borderId="9" applyNumberFormat="0" applyFill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4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33" fillId="2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34" fillId="38" borderId="0" applyNumberFormat="0" applyBorder="0" applyAlignment="0" applyProtection="0">
      <x:alignment vertical="center"/>
    </x:xf>
    <x:xf numFmtId="0" fontId="34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33" fillId="41" borderId="0" applyNumberFormat="0" applyBorder="0" applyAlignment="0" applyProtection="0">
      <x:alignment vertical="center"/>
    </x:xf>
    <x:xf numFmtId="0" fontId="34" fillId="42" borderId="0" applyNumberFormat="0" applyBorder="0" applyAlignment="0" applyProtection="0">
      <x:alignment vertical="center"/>
    </x:xf>
    <x:xf numFmtId="0" fontId="34" fillId="43" borderId="0" applyNumberFormat="0" applyBorder="0" applyAlignment="0" applyProtection="0">
      <x:alignment vertical="center"/>
    </x:xf>
    <x:xf numFmtId="0" fontId="33" fillId="44" borderId="0" applyNumberFormat="0" applyBorder="0" applyAlignment="0" applyProtection="0">
      <x:alignment vertical="center"/>
    </x:xf>
  </x:cellStyleXfs>
  <x:cellXfs count="122">
    <x:xf numFmtId="0" fontId="0" fillId="0" borderId="0" xfId="0"/>
    <x:xf numFmtId="20" fontId="0" fillId="0" borderId="0" xfId="0" applyNumberFormat="1"/>
    <x:xf numFmtId="0" fontId="1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/>
    </x:xf>
    <x:xf numFmtId="178" fontId="0" fillId="3" borderId="1" xfId="0" applyNumberFormat="1" applyFill="1" applyBorder="1"/>
    <x:xf numFmtId="0" fontId="0" fillId="3" borderId="1" xfId="0" applyFill="1" applyBorder="1"/>
    <x:xf numFmtId="20" fontId="3" fillId="3" borderId="1" xfId="0" applyNumberFormat="1" applyFont="1" applyFill="1" applyBorder="1"/>
    <x:xf numFmtId="20" fontId="4" fillId="3" borderId="1" xfId="0" applyNumberFormat="1" applyFont="1" applyFill="1" applyBorder="1"/>
    <x:xf numFmtId="0" fontId="3" fillId="3" borderId="1" xfId="0" applyFont="1" applyFill="1" applyBorder="1"/>
    <x:xf numFmtId="0" fontId="3" fillId="3" borderId="1" xfId="0" applyFont="1" applyFill="1" applyBorder="1"/>
    <x:xf numFmtId="178" fontId="0" fillId="0" borderId="1" xfId="0" applyNumberFormat="1" applyFill="1" applyBorder="1"/>
    <x:xf numFmtId="0" fontId="0" fillId="0" borderId="1" xfId="0" applyFill="1" applyBorder="1"/>
    <x:xf numFmtId="20" fontId="0" fillId="0" borderId="1" xfId="0" applyNumberFormat="1" applyFill="1" applyBorder="1"/>
    <x:xf numFmtId="20" fontId="0" fillId="4" borderId="1" xfId="0" applyNumberFormat="1" applyFill="1" applyBorder="1"/>
    <x:xf numFmtId="20" fontId="5" fillId="0" borderId="1" xfId="0" applyNumberFormat="1" applyFont="1" applyFill="1" applyBorder="1"/>
    <x:xf numFmtId="0" fontId="6" fillId="5" borderId="1" xfId="0" applyFont="1" applyFill="1" applyBorder="1" applyAlignment="1"/>
    <x:xf numFmtId="178" fontId="1" fillId="0" borderId="1" xfId="0" applyNumberFormat="1" applyFont="1" applyFill="1" applyBorder="1"/>
    <x:xf numFmtId="0" fontId="1" fillId="0" borderId="1" xfId="0" applyFont="1" applyFill="1" applyBorder="1"/>
    <x:xf numFmtId="20" fontId="1" fillId="0" borderId="1" xfId="0" applyNumberFormat="1" applyFont="1" applyFill="1" applyBorder="1"/>
    <x:xf numFmtId="20" fontId="7" fillId="0" borderId="1" xfId="0" applyNumberFormat="1" applyFont="1" applyFill="1" applyBorder="1"/>
    <x:xf numFmtId="0" fontId="8" fillId="0" borderId="1" xfId="0" applyFont="1" applyFill="1" applyBorder="1" applyAlignment="1"/>
    <x:xf numFmtId="178" fontId="0" fillId="0" borderId="1" xfId="0" applyNumberFormat="1" applyFill="1" applyBorder="1"/>
    <x:xf numFmtId="0" fontId="0" fillId="0" borderId="1" xfId="0" applyFill="1" applyBorder="1"/>
    <x:xf numFmtId="20" fontId="1" fillId="4" borderId="1" xfId="0" applyNumberFormat="1" applyFont="1" applyFill="1" applyBorder="1"/>
    <x:xf numFmtId="0" fontId="0" fillId="0" borderId="0" xfId="0" applyAlignment="1">
      <x:alignment horizontal="center"/>
    </x:xf>
    <x:xf numFmtId="0" fontId="3" fillId="3" borderId="1" xfId="0" applyFont="1" applyFill="1" applyBorder="1" applyAlignment="1">
      <x:alignment horizontal="center"/>
    </x:xf>
    <x:xf numFmtId="0" fontId="4" fillId="3" borderId="1" xfId="0" applyFont="1" applyFill="1" applyBorder="1"/>
    <x:xf numFmtId="0" fontId="3" fillId="3" borderId="1" xfId="0" applyFont="1" applyFill="1" applyBorder="1" applyAlignment="1">
      <x:alignment horizontal="center"/>
    </x:xf>
    <x:xf numFmtId="0" fontId="6" fillId="5" borderId="1" xfId="0" applyFont="1" applyFill="1" applyBorder="1" applyAlignment="1">
      <x:alignment horizontal="center"/>
    </x:xf>
    <x:xf numFmtId="0" fontId="5" fillId="0" borderId="1" xfId="0" applyFont="1" applyFill="1" applyBorder="1"/>
    <x:xf numFmtId="0" fontId="1" fillId="0" borderId="1" xfId="0" applyFont="1" applyFill="1" applyBorder="1"/>
    <x:xf numFmtId="0" fontId="0" fillId="5" borderId="0" xfId="0" applyFill="1"/>
    <x:xf numFmtId="0" fontId="9" fillId="0" borderId="1" xfId="0" applyFont="1" applyFill="1" applyBorder="1"/>
    <x:xf numFmtId="178" fontId="0" fillId="5" borderId="1" xfId="0" applyNumberFormat="1" applyFill="1" applyBorder="1"/>
    <x:xf numFmtId="0" fontId="0" fillId="5" borderId="1" xfId="0" applyFill="1" applyBorder="1"/>
    <x:xf numFmtId="20" fontId="0" fillId="5" borderId="1" xfId="0" applyNumberFormat="1" applyFill="1" applyBorder="1"/>
    <x:xf numFmtId="20" fontId="0" fillId="2" borderId="1" xfId="0" applyNumberFormat="1" applyFill="1" applyBorder="1"/>
    <x:xf numFmtId="20" fontId="5" fillId="6" borderId="1" xfId="0" applyNumberFormat="1" applyFont="1" applyFill="1" applyBorder="1"/>
    <x:xf numFmtId="178" fontId="0" fillId="7" borderId="1" xfId="0" applyNumberFormat="1" applyFill="1" applyBorder="1"/>
    <x:xf numFmtId="0" fontId="0" fillId="7" borderId="1" xfId="0" applyFill="1" applyBorder="1"/>
    <x:xf numFmtId="20" fontId="0" fillId="7" borderId="1" xfId="0" applyNumberFormat="1" applyFill="1" applyBorder="1"/>
    <x:xf numFmtId="20" fontId="5" fillId="8" borderId="1" xfId="0" applyNumberFormat="1" applyFont="1" applyFill="1" applyBorder="1"/>
    <x:xf numFmtId="0" fontId="5" fillId="6" borderId="1" xfId="0" applyFont="1" applyFill="1" applyBorder="1"/>
    <x:xf numFmtId="0" fontId="5" fillId="8" borderId="1" xfId="0" applyFont="1" applyFill="1" applyBorder="1"/>
    <x:xf numFmtId="0" fontId="9" fillId="6" borderId="1" xfId="0" applyFont="1" applyFill="1" applyBorder="1"/>
    <x:xf numFmtId="0" fontId="9" fillId="8" borderId="1" xfId="0" applyFont="1" applyFill="1" applyBorder="1"/>
    <x:xf numFmtId="0" fontId="10" fillId="5" borderId="1" xfId="0" applyFont="1" applyFill="1" applyBorder="1"/>
    <x:xf numFmtId="0" fontId="5" fillId="0" borderId="0" xfId="0" applyFont="1" applyFill="1" applyBorder="1" applyAlignment="1">
      <x:alignment horizontal="center"/>
    </x:xf>
    <x:xf numFmtId="0" fontId="5" fillId="9" borderId="0" xfId="0" applyFont="1" applyFill="1" applyBorder="1"/>
    <x:xf numFmtId="0" fontId="5" fillId="0" borderId="0" xfId="0" applyFont="1" applyFill="1" applyBorder="1"/>
    <x:xf numFmtId="20" fontId="5" fillId="0" borderId="0" xfId="0" applyNumberFormat="1" applyFont="1" applyFill="1" applyBorder="1"/>
    <x:xf numFmtId="0" fontId="7" fillId="10" borderId="1" xfId="0" applyFont="1" applyFill="1" applyBorder="1" applyAlignment="1">
      <x:alignment horizontal="center"/>
    </x:xf>
    <x:xf numFmtId="0" fontId="11" fillId="10" borderId="1" xfId="0" applyFont="1" applyFill="1" applyBorder="1" applyAlignment="1">
      <x:alignment horizontal="center"/>
    </x:xf>
    <x:xf numFmtId="178" fontId="5" fillId="9" borderId="1" xfId="0" applyNumberFormat="1" applyFont="1" applyFill="1" applyBorder="1"/>
    <x:xf numFmtId="0" fontId="5" fillId="9" borderId="1" xfId="0" applyFont="1" applyFill="1" applyBorder="1"/>
    <x:xf numFmtId="20" fontId="5" fillId="9" borderId="1" xfId="0" applyNumberFormat="1" applyFont="1" applyFill="1" applyBorder="1"/>
    <x:xf numFmtId="20" fontId="5" fillId="10" borderId="1" xfId="0" applyNumberFormat="1" applyFont="1" applyFill="1" applyBorder="1"/>
    <x:xf numFmtId="20" fontId="12" fillId="9" borderId="1" xfId="0" applyNumberFormat="1" applyFont="1" applyFill="1" applyBorder="1"/>
    <x:xf numFmtId="0" fontId="10" fillId="9" borderId="1" xfId="0" applyFont="1" applyFill="1" applyBorder="1"/>
    <x:xf numFmtId="178" fontId="5" fillId="11" borderId="1" xfId="0" applyNumberFormat="1" applyFont="1" applyFill="1" applyBorder="1"/>
    <x:xf numFmtId="0" fontId="5" fillId="11" borderId="1" xfId="0" applyFont="1" applyFill="1" applyBorder="1"/>
    <x:xf numFmtId="20" fontId="5" fillId="11" borderId="1" xfId="0" applyNumberFormat="1" applyFont="1" applyFill="1" applyBorder="1"/>
    <x:xf numFmtId="20" fontId="12" fillId="11" borderId="1" xfId="0" applyNumberFormat="1" applyFont="1" applyFill="1" applyBorder="1"/>
    <x:xf numFmtId="0" fontId="10" fillId="11" borderId="1" xfId="0" applyFont="1" applyFill="1" applyBorder="1"/>
    <x:xf numFmtId="178" fontId="5" fillId="0" borderId="1" xfId="0" applyNumberFormat="1" applyFont="1" applyFill="1" applyBorder="1"/>
    <x:xf numFmtId="178" fontId="5" fillId="12" borderId="1" xfId="0" applyNumberFormat="1" applyFont="1" applyFill="1" applyBorder="1"/>
    <x:xf numFmtId="0" fontId="5" fillId="12" borderId="1" xfId="0" applyFont="1" applyFill="1" applyBorder="1"/>
    <x:xf numFmtId="20" fontId="5" fillId="12" borderId="1" xfId="0" applyNumberFormat="1" applyFont="1" applyFill="1" applyBorder="1"/>
    <x:xf numFmtId="20" fontId="12" fillId="12" borderId="1" xfId="0" applyNumberFormat="1" applyFont="1" applyFill="1" applyBorder="1"/>
    <x:xf numFmtId="0" fontId="12" fillId="9" borderId="1" xfId="0" applyFont="1" applyFill="1" applyBorder="1"/>
    <x:xf numFmtId="0" fontId="12" fillId="11" borderId="1" xfId="0" applyFont="1" applyFill="1" applyBorder="1"/>
    <x:xf numFmtId="0" fontId="9" fillId="11" borderId="1" xfId="0" applyFont="1" applyFill="1" applyBorder="1"/>
    <x:xf numFmtId="0" fontId="9" fillId="9" borderId="1" xfId="0" applyFont="1" applyFill="1" applyBorder="1"/>
    <x:xf numFmtId="0" fontId="12" fillId="12" borderId="1" xfId="0" applyFont="1" applyFill="1" applyBorder="1"/>
    <x:xf numFmtId="178" fontId="5" fillId="8" borderId="1" xfId="0" applyNumberFormat="1" applyFont="1" applyFill="1" applyBorder="1"/>
    <x:xf numFmtId="20" fontId="12" fillId="8" borderId="1" xfId="0" applyNumberFormat="1" applyFont="1" applyFill="1" applyBorder="1"/>
    <x:xf numFmtId="0" fontId="10" fillId="8" borderId="1" xfId="0" applyFont="1" applyFill="1" applyBorder="1"/>
    <x:xf numFmtId="178" fontId="5" fillId="6" borderId="1" xfId="0" applyNumberFormat="1" applyFont="1" applyFill="1" applyBorder="1"/>
    <x:xf numFmtId="0" fontId="12" fillId="8" borderId="1" xfId="0" applyFont="1" applyFill="1" applyBorder="1"/>
    <x:xf numFmtId="0" fontId="12" fillId="6" borderId="1" xfId="0" applyFont="1" applyFill="1" applyBorder="1"/>
    <x:xf numFmtId="0" fontId="0" fillId="0" borderId="0" xfId="0" applyAlignment="1">
      <x:alignment horizontal="right"/>
    </x:xf>
    <x:xf numFmtId="0" fontId="13" fillId="0" borderId="0" xfId="0" applyFont="1" applyAlignment="1">
      <x:alignment horizontal="center" vertical="center"/>
    </x:xf>
    <x:xf numFmtId="20" fontId="13" fillId="0" borderId="0" xfId="0" applyNumberFormat="1" applyFont="1" applyFill="1" applyAlignment="1">
      <x:alignment horizontal="center" vertical="center"/>
    </x:xf>
    <x:xf numFmtId="178" fontId="0" fillId="5" borderId="1" xfId="0" applyNumberFormat="1" applyFont="1" applyFill="1" applyBorder="1"/>
    <x:xf numFmtId="0" fontId="0" fillId="5" borderId="1" xfId="0" applyFont="1" applyFill="1" applyBorder="1"/>
    <x:xf numFmtId="20" fontId="0" fillId="5" borderId="1" xfId="0" applyNumberFormat="1" applyFont="1" applyFill="1" applyBorder="1"/>
    <x:xf numFmtId="20" fontId="0" fillId="2" borderId="1" xfId="0" applyNumberFormat="1" applyFont="1" applyFill="1" applyBorder="1"/>
    <x:xf numFmtId="0" fontId="14" fillId="5" borderId="1" xfId="0" applyFont="1" applyFill="1" applyBorder="1"/>
    <x:xf numFmtId="178" fontId="1" fillId="7" borderId="1" xfId="0" applyNumberFormat="1" applyFont="1" applyFill="1" applyBorder="1"/>
    <x:xf numFmtId="0" fontId="1" fillId="7" borderId="1" xfId="0" applyFont="1" applyFill="1" applyBorder="1"/>
    <x:xf numFmtId="20" fontId="1" fillId="7" borderId="1" xfId="0" applyNumberFormat="1" applyFont="1" applyFill="1" applyBorder="1"/>
    <x:xf numFmtId="0" fontId="1" fillId="8" borderId="1" xfId="0" applyFont="1" applyFill="1" applyBorder="1"/>
    <x:xf numFmtId="0" fontId="0" fillId="6" borderId="1" xfId="0" applyFont="1" applyFill="1" applyBorder="1"/>
    <x:xf numFmtId="20" fontId="13" fillId="0" borderId="0" xfId="0" applyNumberFormat="1" applyFont="1" applyAlignment="1">
      <x:alignment horizontal="center" vertical="center"/>
    </x:xf>
    <x:xf numFmtId="178" fontId="0" fillId="13" borderId="1" xfId="0" applyNumberFormat="1" applyFill="1" applyBorder="1"/>
    <x:xf numFmtId="0" fontId="0" fillId="13" borderId="1" xfId="0" applyFill="1" applyBorder="1"/>
    <x:xf numFmtId="20" fontId="0" fillId="13" borderId="1" xfId="0" applyNumberFormat="1" applyFill="1" applyBorder="1"/>
    <x:xf numFmtId="178" fontId="0" fillId="14" borderId="1" xfId="0" applyNumberFormat="1" applyFill="1" applyBorder="1"/>
    <x:xf numFmtId="0" fontId="0" fillId="14" borderId="1" xfId="0" applyFill="1" applyBorder="1"/>
    <x:xf numFmtId="0" fontId="0" fillId="0" borderId="1" xfId="0" applyBorder="1"/>
    <x:xf numFmtId="0" fontId="15" fillId="5" borderId="1" xfId="0" applyFont="1" applyFill="1" applyBorder="1"/>
    <x:xf numFmtId="20" fontId="0" fillId="14" borderId="1" xfId="0" applyNumberFormat="1" applyFill="1" applyBorder="1"/>
    <x:xf numFmtId="0" fontId="15" fillId="13" borderId="1" xfId="0" applyFont="1" applyFill="1" applyBorder="1"/>
    <x:xf numFmtId="178" fontId="0" fillId="45" borderId="1" xfId="0" applyNumberFormat="1" applyFont="1" applyFill="1" applyBorder="1"/>
    <x:xf numFmtId="0" fontId="0" fillId="45" borderId="1" xfId="0" applyNumberFormat="1" applyFont="1" applyFill="1" applyBorder="1"/>
    <x:xf numFmtId="20" fontId="3" fillId="45" borderId="1" xfId="0" applyNumberFormat="1" applyFont="1" applyFill="1" applyBorder="1"/>
    <x:xf numFmtId="0" fontId="3" fillId="45" borderId="1" xfId="0" applyNumberFormat="1" applyFont="1" applyFill="1" applyBorder="1"/>
    <x:xf numFmtId="0" fontId="3" fillId="45" borderId="1" xfId="0" applyNumberFormat="1" applyFont="1" applyFill="1" applyBorder="1" applyAlignment="1">
      <x:alignment horizontal="center"/>
    </x:xf>
    <x:xf numFmtId="20" fontId="0" fillId="45" borderId="1" xfId="0" applyNumberFormat="1" applyFont="1" applyFill="1" applyBorder="1"/>
    <x:xf numFmtId="0" fontId="0" fillId="45" borderId="1" xfId="0" applyNumberFormat="1" applyFont="1" applyFill="1" applyBorder="1" applyAlignment="1">
      <x:alignment horizontal="center"/>
    </x:xf>
    <x:xf numFmtId="178" fontId="1" fillId="45" borderId="1" xfId="0" applyNumberFormat="1" applyFont="1" applyFill="1" applyBorder="1"/>
    <x:xf numFmtId="0" fontId="1" fillId="45" borderId="1" xfId="0" applyNumberFormat="1" applyFont="1" applyFill="1" applyBorder="1"/>
    <x:xf numFmtId="20" fontId="1" fillId="45" borderId="1" xfId="0" applyNumberFormat="1" applyFont="1" applyFill="1" applyBorder="1"/>
    <x:xf numFmtId="0" fontId="9" fillId="45" borderId="1" xfId="0" applyNumberFormat="1" applyFont="1" applyFill="1" applyBorder="1"/>
    <x:xf numFmtId="0" fontId="0" fillId="45" borderId="0" xfId="0" applyNumberFormat="1" applyFont="1" applyFill="1" applyBorder="1"/>
    <x:xf numFmtId="20" fontId="3" fillId="46" borderId="1" xfId="0" applyNumberFormat="1" applyFont="1" applyFill="1" applyBorder="1"/>
    <x:xf numFmtId="20" fontId="0" fillId="46" borderId="1" xfId="0" applyNumberFormat="1" applyFont="1" applyFill="1" applyBorder="1"/>
    <x:xf numFmtId="20" fontId="1" fillId="46" borderId="1" xfId="0" applyNumberFormat="1" applyFont="1" applyFill="1" applyBorder="1"/>
    <x:xf numFmtId="0" fontId="0" fillId="46" borderId="0" xfId="0" applyNumberFormat="1" applyFont="1" applyFill="1" applyBorder="1"/>
    <x:xf numFmtId="200" fontId="0" fillId="45" borderId="1" xfId="0" applyNumberFormat="1" applyFont="1" applyFill="1" applyBorder="1"/>
    <x:xf numFmtId="200" fontId="1" fillId="45" borderId="1" xfId="0" applyNumberFormat="1" applyFont="1" applyFill="1" applyBorder="1"/>
    <x:xf numFmtId="200" fontId="0" fillId="45" borderId="0" xfId="0" applyNumberFormat="1" applyFont="1" applyFill="1" applyBorder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9">
    <x:dxf>
      <x:fill>
        <x:patternFill>
          <x:bgColor theme="0" tint="-0.34999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8" tint="0.59996"/>
        </x:patternFill>
      </x:fill>
    </x:dxf>
    <x:dxf>
      <x:fill>
        <x:patternFill>
          <x:bgColor rgb="FFA6A6A6"/>
        </x:patternFill>
      </x:fill>
    </x:dxf>
    <x:dxf>
      <x:fill>
        <x:patternFill>
          <x:bgColor theme="0" tint="-0.24995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0" tint="-0.34999"/>
        </x:patternFill>
      </x:fill>
    </x:dxf>
    <x:dxf>
      <x:font>
        <x:color rgb="FF000000"/>
      </x:font>
      <x:fill>
        <x:patternFill patternType="solid">
          <x:bgColor rgb="FFBFBFBF"/>
        </x:patternFill>
      </x:fill>
    </x:dxf>
    <x:dxf>
      <x:font>
        <x:color rgb="FFFFFFFF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e3edadc3d4b4b" /><Relationship Type="http://schemas.openxmlformats.org/officeDocument/2006/relationships/theme" Target="/xl/theme/theme1.xml" Id="R1973c48ea2e048d5" /><Relationship Type="http://schemas.openxmlformats.org/officeDocument/2006/relationships/sharedStrings" Target="/xl/sharedStrings.xml" Id="R063e7ec7666549df" /><Relationship Type="http://schemas.openxmlformats.org/officeDocument/2006/relationships/worksheet" Target="/xl/worksheets/sheet1.xml" Id="R67b45470f0484f04" /><Relationship Type="http://schemas.openxmlformats.org/officeDocument/2006/relationships/worksheet" Target="/xl/worksheets/sheet2.xml" Id="Rdf8f0ffb56444a9e" /><Relationship Type="http://schemas.openxmlformats.org/officeDocument/2006/relationships/worksheet" Target="/xl/worksheets/sheet3.xml" Id="R6d45fb8154404c31" /><Relationship Type="http://schemas.openxmlformats.org/officeDocument/2006/relationships/worksheet" Target="/xl/worksheets/sheet4.xml" Id="R9c61f96973e342cc" /><Relationship Type="http://schemas.openxmlformats.org/officeDocument/2006/relationships/worksheet" Target="/xl/worksheets/sheet5.xml" Id="R51a7e3175fb54731" /><Relationship Type="http://schemas.openxmlformats.org/officeDocument/2006/relationships/worksheet" Target="/xl/worksheets/sheet6.xml" Id="R3febb7aec72e42e3" /><Relationship Type="http://schemas.openxmlformats.org/officeDocument/2006/relationships/worksheet" Target="/xl/worksheets/sheet7.xml" Id="R893f81bd6b2c450a" /><Relationship Type="http://schemas.openxmlformats.org/officeDocument/2006/relationships/worksheet" Target="/xl/worksheets/sheet8.xml" Id="R64e247bb5dd04713" /><Relationship Type="http://schemas.openxmlformats.org/officeDocument/2006/relationships/worksheet" Target="/xl/worksheets/sheet9.xml" Id="R6d3d4e29a5504be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7" width="14.13888931274414" customWidth="1"/>
    <x:col min="8" max="8" width="15.712963104248047" customWidth="1"/>
    <x:col min="9" max="9" width="50.28703689575195" customWidth="1"/>
    <x:col min="10" max="10" width="17.425926208496094" customWidth="1"/>
    <x:col min="11" max="11" width="23.13888931274414" customWidth="1"/>
  </x:cols>
  <x:sheetData>
    <x:row r="6">
      <x:c r="A6" s="80" t="s">
        <x:v>0</x:v>
      </x:c>
      <x:c r="B6">
        <x:v>1</x:v>
      </x:c>
    </x:row>
    <x:row r="7">
      <x:c r="A7">
        <x:v>2026</x:v>
      </x:c>
      <x:c r="B7">
        <x:v>1</x:v>
      </x:c>
    </x:row>
    <x:row r="8">
      <x:c r="C8" s="81" t="s">
        <x:v>1</x:v>
      </x:c>
      <x:c r="D8" s="81" t="s">
        <x:v>2</x:v>
      </x:c>
      <x:c r="E8" s="81" t="s">
        <x:v>3</x:v>
      </x:c>
      <x:c r="F8" s="93" t="s">
        <x:v>4</x:v>
      </x:c>
      <x:c r="G8" s="81" t="s">
        <x:v>5</x:v>
      </x:c>
      <x:c r="H8" s="81" t="s">
        <x:v>6</x:v>
      </x:c>
      <x:c r="I8" s="81" t="s">
        <x:v>7</x:v>
      </x:c>
      <x:c r="J8" s="81" t="s">
        <x:v>8</x:v>
      </x:c>
      <x:c r="K8" s="81" t="s">
        <x:v>9</x:v>
      </x:c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33" t="n">
        <x:f>DATE(A7,B7,1)</x:f>
        <x:v>46023</x:v>
      </x:c>
      <x:c r="B10" s="34" t="str">
        <x:f>TEXT(A10,"ddd")</x:f>
        <x:v>Thu</x:v>
      </x:c>
      <x:c r="C10" s="35">
        <x:v>0.333333333333333</x:v>
      </x:c>
      <x:c r="D10" s="35">
        <x:v>0.708333333333333</x:v>
      </x:c>
      <x:c r="E10" s="35">
        <x:v>0.0416666666666667</x:v>
      </x:c>
      <x:c r="F10" s="36" t="n">
        <x:f t="shared" ref="F10:F11" si="0">D10-C10-E10</x:f>
        <x:v>0.33333333333333337</x:v>
      </x:c>
      <x:c r="G10" s="34"/>
      <x:c r="H10" s="34"/>
      <x:c r="I10" s="34"/>
      <x:c r="J10" s="35"/>
      <x:c r="K10" s="34"/>
    </x:row>
    <x:row r="11">
      <x:c r="A11" s="33" t="n">
        <x:f>A10+1</x:f>
        <x:v>46024</x:v>
      </x:c>
      <x:c r="B11" s="34" t="str">
        <x:f t="shared" ref="B11:B40" si="1">TEXT(A11,"ddd")</x:f>
        <x:v>Fri</x:v>
      </x:c>
      <x:c r="C11" s="35">
        <x:v>0.333333333333333</x:v>
      </x:c>
      <x:c r="D11" s="35">
        <x:v>0.708333333333333</x:v>
      </x:c>
      <x:c r="E11" s="35">
        <x:v>0.0416666666666667</x:v>
      </x:c>
      <x:c r="F11" s="36">
        <x:f t="shared" si="0"/>
        <x:v>0.333333333333333</x:v>
      </x:c>
      <x:c r="G11" s="35"/>
      <x:c r="H11" s="34"/>
      <x:c r="I11" s="34"/>
      <x:c r="J11" s="35"/>
      <x:c r="K11" s="34"/>
    </x:row>
    <x:row r="12">
      <x:c r="A12" s="94" t="n">
        <x:f t="shared" ref="A12:A40" si="2">A11+1</x:f>
        <x:v>46025</x:v>
      </x:c>
      <x:c r="B12" s="95" t="str">
        <x:f t="shared" si="1"/>
        <x:v>Sat</x:v>
      </x:c>
      <x:c r="C12" s="96"/>
      <x:c r="D12" s="96"/>
      <x:c r="E12" s="96"/>
      <x:c r="F12" s="96"/>
      <x:c r="G12" s="96"/>
      <x:c r="H12" s="96"/>
      <x:c r="I12" s="96"/>
      <x:c r="J12" s="96"/>
      <x:c r="K12" s="95"/>
    </x:row>
    <x:row r="13">
      <x:c r="A13" s="94">
        <x:f t="shared" si="2"/>
        <x:v>46026</x:v>
      </x:c>
      <x:c r="B13" s="95" t="str">
        <x:f t="shared" si="1"/>
        <x:v>Sun</x:v>
      </x:c>
      <x:c r="C13" s="96"/>
      <x:c r="D13" s="96"/>
      <x:c r="E13" s="96"/>
      <x:c r="F13" s="96"/>
      <x:c r="G13" s="96"/>
      <x:c r="H13" s="96"/>
      <x:c r="I13" s="96"/>
      <x:c r="J13" s="96"/>
      <x:c r="K13" s="95"/>
    </x:row>
    <x:row r="14">
      <x:c r="A14" s="33">
        <x:f t="shared" si="2"/>
        <x:v>46027</x:v>
      </x:c>
      <x:c r="B14" s="34" t="str">
        <x:f t="shared" si="1"/>
        <x:v>Mon</x:v>
      </x:c>
      <x:c r="C14" s="35">
        <x:v>0.333333333333333</x:v>
      </x:c>
      <x:c r="D14" s="35">
        <x:v>0.708333333333333</x:v>
      </x:c>
      <x:c r="E14" s="35">
        <x:v>0.0416666666666667</x:v>
      </x:c>
      <x:c r="F14" s="36" t="n">
        <x:f>D14-C14-E14</x:f>
        <x:v>0.33333333333333337</x:v>
      </x:c>
      <x:c r="G14" s="34"/>
      <x:c r="H14" s="34"/>
      <x:c r="I14" s="34"/>
      <x:c r="J14" s="35"/>
      <x:c r="K14" s="34"/>
    </x:row>
    <x:row r="15" s="31" customFormat="1">
      <x:c r="A15" s="33">
        <x:f t="shared" si="2"/>
        <x:v>46028</x:v>
      </x:c>
      <x:c r="B15" s="34" t="str">
        <x:f t="shared" si="1"/>
        <x:v>Tue</x:v>
      </x:c>
      <x:c r="C15" s="35">
        <x:v>0.333333333333333</x:v>
      </x:c>
      <x:c r="D15" s="35">
        <x:v>0.708333333333333</x:v>
      </x:c>
      <x:c r="E15" s="35">
        <x:v>0.0416666666666667</x:v>
      </x:c>
      <x:c r="F15" s="36" t="n">
        <x:f t="shared" ref="F15:F39" si="3">D15-C15-E15</x:f>
        <x:v>0.33333333333333337</x:v>
      </x:c>
      <x:c r="G15" s="35"/>
      <x:c r="H15" s="34"/>
      <x:c r="I15" s="34"/>
      <x:c r="J15" s="35"/>
      <x:c r="K15" s="34"/>
    </x:row>
    <x:row r="16" s="31" customFormat="1">
      <x:c r="A16" s="33">
        <x:f t="shared" si="2"/>
        <x:v>46029</x:v>
      </x:c>
      <x:c r="B16" s="34" t="str">
        <x:f t="shared" si="1"/>
        <x:v>Wed</x:v>
      </x:c>
      <x:c r="C16" s="35">
        <x:v>0.333333333333333</x:v>
      </x:c>
      <x:c r="D16" s="35">
        <x:v>0.708333333333333</x:v>
      </x:c>
      <x:c r="E16" s="35">
        <x:v>0.0416666666666667</x:v>
      </x:c>
      <x:c r="F16" s="36">
        <x:f t="shared" si="3"/>
        <x:v>0.333333333333333</x:v>
      </x:c>
      <x:c r="G16" s="35"/>
      <x:c r="H16" s="34"/>
      <x:c r="I16" s="34"/>
      <x:c r="J16" s="35"/>
      <x:c r="K16" s="34"/>
    </x:row>
    <x:row r="17" s="31" customFormat="1">
      <x:c r="A17" s="33">
        <x:f t="shared" si="2"/>
        <x:v>46030</x:v>
      </x:c>
      <x:c r="B17" s="34" t="str">
        <x:f t="shared" si="1"/>
        <x:v>Thu</x:v>
      </x:c>
      <x:c r="C17" s="35">
        <x:v>0.333333333333333</x:v>
      </x:c>
      <x:c r="D17" s="35">
        <x:v>0.708333333333333</x:v>
      </x:c>
      <x:c r="E17" s="35">
        <x:v>0.0416666666666667</x:v>
      </x:c>
      <x:c r="F17" s="36">
        <x:f t="shared" si="3"/>
        <x:v>0.333333333333333</x:v>
      </x:c>
      <x:c r="G17" s="34"/>
      <x:c r="H17" s="34"/>
      <x:c r="I17" s="34"/>
      <x:c r="J17" s="35"/>
      <x:c r="K17" s="34"/>
    </x:row>
    <x:row r="18" s="31" customFormat="1">
      <x:c r="A18" s="33">
        <x:f t="shared" si="2"/>
        <x:v>46031</x:v>
      </x:c>
      <x:c r="B18" s="34" t="str">
        <x:f t="shared" si="1"/>
        <x:v>Fri</x:v>
      </x:c>
      <x:c r="C18" s="35">
        <x:v>0.333333333333333</x:v>
      </x:c>
      <x:c r="D18" s="35">
        <x:v>0.708333333333333</x:v>
      </x:c>
      <x:c r="E18" s="35">
        <x:v>0.0416666666666667</x:v>
      </x:c>
      <x:c r="F18" s="36">
        <x:f t="shared" si="3"/>
        <x:v>0.333333333333333</x:v>
      </x:c>
      <x:c r="G18" s="35"/>
      <x:c r="H18" s="34"/>
      <x:c r="I18" s="34"/>
      <x:c r="J18" s="35"/>
      <x:c r="K18" s="34"/>
    </x:row>
    <x:row r="19" s="31" customFormat="1">
      <x:c r="A19" s="94">
        <x:f t="shared" si="2"/>
        <x:v>46032</x:v>
      </x:c>
      <x:c r="B19" s="95" t="str">
        <x:f t="shared" si="1"/>
        <x:v>Sat</x:v>
      </x:c>
      <x:c r="C19" s="96"/>
      <x:c r="D19" s="96"/>
      <x:c r="E19" s="96"/>
      <x:c r="F19" s="96"/>
      <x:c r="G19" s="96"/>
      <x:c r="H19" s="95"/>
      <x:c r="I19" s="95"/>
      <x:c r="J19" s="95"/>
      <x:c r="K19" s="95"/>
    </x:row>
    <x:row r="20" s="31" customFormat="1">
      <x:c r="A20" s="94">
        <x:f t="shared" si="2"/>
        <x:v>46033</x:v>
      </x:c>
      <x:c r="B20" s="95" t="str">
        <x:f t="shared" si="1"/>
        <x:v>Sun</x:v>
      </x:c>
      <x:c r="C20" s="96"/>
      <x:c r="D20" s="96"/>
      <x:c r="E20" s="96"/>
      <x:c r="F20" s="96"/>
      <x:c r="G20" s="95"/>
      <x:c r="H20" s="95"/>
      <x:c r="I20" s="95"/>
      <x:c r="J20" s="95"/>
      <x:c r="K20" s="95"/>
    </x:row>
    <x:row r="21" s="31" customFormat="1">
      <x:c r="A21" s="33">
        <x:f t="shared" si="2"/>
        <x:v>46034</x:v>
      </x:c>
      <x:c r="B21" s="34" t="str">
        <x:f t="shared" si="1"/>
        <x:v>Mon</x:v>
      </x:c>
      <x:c r="C21" s="35">
        <x:v>0.333333333333333</x:v>
      </x:c>
      <x:c r="D21" s="35">
        <x:v>0.708333333333333</x:v>
      </x:c>
      <x:c r="E21" s="35">
        <x:v>0.0416666666666667</x:v>
      </x:c>
      <x:c r="F21" s="36">
        <x:f t="shared" si="3"/>
        <x:v>0.333333333333333</x:v>
      </x:c>
      <x:c r="G21" s="35"/>
      <x:c r="H21" s="34"/>
      <x:c r="I21" s="34"/>
      <x:c r="J21" s="35"/>
      <x:c r="K21" s="34"/>
    </x:row>
    <x:row r="22" s="31" customFormat="1">
      <x:c r="A22" s="33">
        <x:f t="shared" si="2"/>
        <x:v>46035</x:v>
      </x:c>
      <x:c r="B22" s="34" t="str">
        <x:f t="shared" si="1"/>
        <x:v>Tue</x:v>
      </x:c>
      <x:c r="C22" s="35">
        <x:v>0.333333333333333</x:v>
      </x:c>
      <x:c r="D22" s="35">
        <x:v>0.708333333333333</x:v>
      </x:c>
      <x:c r="E22" s="35">
        <x:v>0.0416666666666667</x:v>
      </x:c>
      <x:c r="F22" s="36">
        <x:f t="shared" si="3"/>
        <x:v>0.333333333333333</x:v>
      </x:c>
      <x:c r="G22" s="35"/>
      <x:c r="H22" s="34"/>
      <x:c r="I22" s="34"/>
      <x:c r="J22" s="35"/>
      <x:c r="K22" s="34"/>
    </x:row>
    <x:row r="23" s="31" customFormat="1">
      <x:c r="A23" s="33">
        <x:f t="shared" si="2"/>
        <x:v>46036</x:v>
      </x:c>
      <x:c r="B23" s="34" t="str">
        <x:f t="shared" si="1"/>
        <x:v>Wed</x:v>
      </x:c>
      <x:c r="C23" s="35">
        <x:v>0.333333333333333</x:v>
      </x:c>
      <x:c r="D23" s="35">
        <x:v>0.708333333333333</x:v>
      </x:c>
      <x:c r="E23" s="35">
        <x:v>0.0416666666666667</x:v>
      </x:c>
      <x:c r="F23" s="36">
        <x:f t="shared" si="3"/>
        <x:v>0.333333333333333</x:v>
      </x:c>
      <x:c r="G23" s="35"/>
      <x:c r="H23" s="34"/>
      <x:c r="I23" s="34"/>
      <x:c r="J23" s="35"/>
      <x:c r="K23" s="34"/>
    </x:row>
    <x:row r="24" s="31" customFormat="1">
      <x:c r="A24" s="33">
        <x:f t="shared" si="2"/>
        <x:v>46037</x:v>
      </x:c>
      <x:c r="B24" s="34" t="str">
        <x:f t="shared" si="1"/>
        <x:v>Thu</x:v>
      </x:c>
      <x:c r="C24" s="35">
        <x:v>0.333333333333333</x:v>
      </x:c>
      <x:c r="D24" s="35">
        <x:v>0.708333333333333</x:v>
      </x:c>
      <x:c r="E24" s="35">
        <x:v>0.0416666666666667</x:v>
      </x:c>
      <x:c r="F24" s="36">
        <x:f t="shared" si="3"/>
        <x:v>0.333333333333333</x:v>
      </x:c>
      <x:c r="G24" s="34"/>
      <x:c r="H24" s="34"/>
      <x:c r="I24" s="34"/>
      <x:c r="J24" s="35"/>
      <x:c r="K24" s="34"/>
    </x:row>
    <x:row r="25" s="31" customFormat="1">
      <x:c r="A25" s="33">
        <x:f t="shared" si="2"/>
        <x:v>46038</x:v>
      </x:c>
      <x:c r="B25" s="34" t="str">
        <x:f t="shared" si="1"/>
        <x:v>Fri</x:v>
      </x:c>
      <x:c r="C25" s="35">
        <x:v>0.333333333333333</x:v>
      </x:c>
      <x:c r="D25" s="35">
        <x:v>0.708333333333333</x:v>
      </x:c>
      <x:c r="E25" s="35">
        <x:v>0.0416666666666667</x:v>
      </x:c>
      <x:c r="F25" s="36">
        <x:f t="shared" si="3"/>
        <x:v>0.333333333333333</x:v>
      </x:c>
      <x:c r="G25" s="35"/>
      <x:c r="H25" s="34"/>
      <x:c r="I25" s="34"/>
      <x:c r="J25" s="35"/>
      <x:c r="K25" s="34"/>
    </x:row>
    <x:row r="26" s="31" customFormat="1">
      <x:c r="A26" s="94">
        <x:f t="shared" si="2"/>
        <x:v>46039</x:v>
      </x:c>
      <x:c r="B26" s="95" t="str">
        <x:f t="shared" si="1"/>
        <x:v>Sat</x:v>
      </x:c>
      <x:c r="C26" s="96"/>
      <x:c r="D26" s="96"/>
      <x:c r="E26" s="96"/>
      <x:c r="F26" s="96"/>
      <x:c r="G26" s="96"/>
      <x:c r="H26" s="96"/>
      <x:c r="I26" s="96"/>
      <x:c r="J26" s="96"/>
      <x:c r="K26" s="95"/>
    </x:row>
    <x:row r="27" s="31" customFormat="1">
      <x:c r="A27" s="94">
        <x:f t="shared" si="2"/>
        <x:v>46040</x:v>
      </x:c>
      <x:c r="B27" s="95" t="str">
        <x:f t="shared" si="1"/>
        <x:v>Sun</x:v>
      </x:c>
      <x:c r="C27" s="96"/>
      <x:c r="D27" s="96"/>
      <x:c r="E27" s="96"/>
      <x:c r="F27" s="96"/>
      <x:c r="G27" s="96"/>
      <x:c r="H27" s="96"/>
      <x:c r="I27" s="96"/>
      <x:c r="J27" s="96"/>
      <x:c r="K27" s="95"/>
    </x:row>
    <x:row r="28" s="31" customFormat="1">
      <x:c r="A28" s="33">
        <x:f t="shared" si="2"/>
        <x:v>46041</x:v>
      </x:c>
      <x:c r="B28" s="34" t="str">
        <x:f t="shared" si="1"/>
        <x:v>Mon</x:v>
      </x:c>
      <x:c r="C28" s="35">
        <x:v>0.333333333333333</x:v>
      </x:c>
      <x:c r="D28" s="35">
        <x:v>0.708333333333333</x:v>
      </x:c>
      <x:c r="E28" s="35">
        <x:v>0.0416666666666667</x:v>
      </x:c>
      <x:c r="F28" s="36">
        <x:f t="shared" si="3"/>
        <x:v>0.333333333333333</x:v>
      </x:c>
      <x:c r="G28" s="34"/>
      <x:c r="H28" s="34"/>
      <x:c r="I28" s="34"/>
      <x:c r="J28" s="35"/>
      <x:c r="K28" s="34"/>
    </x:row>
    <x:row r="29" s="31" customFormat="1">
      <x:c r="A29" s="33">
        <x:f t="shared" si="2"/>
        <x:v>46042</x:v>
      </x:c>
      <x:c r="B29" s="34" t="str">
        <x:f t="shared" si="1"/>
        <x:v>Tue</x:v>
      </x:c>
      <x:c r="C29" s="35">
        <x:v>0.333333333333333</x:v>
      </x:c>
      <x:c r="D29" s="35">
        <x:v>0.708333333333333</x:v>
      </x:c>
      <x:c r="E29" s="35">
        <x:v>0.0416666666666667</x:v>
      </x:c>
      <x:c r="F29" s="36">
        <x:f t="shared" si="3"/>
        <x:v>0.333333333333333</x:v>
      </x:c>
      <x:c r="G29" s="35"/>
      <x:c r="H29" s="34"/>
      <x:c r="I29" s="34"/>
      <x:c r="J29" s="35"/>
      <x:c r="K29" s="34"/>
    </x:row>
    <x:row r="30" s="31" customFormat="1">
      <x:c r="A30" s="33">
        <x:f t="shared" si="2"/>
        <x:v>46043</x:v>
      </x:c>
      <x:c r="B30" s="34" t="str">
        <x:f t="shared" si="1"/>
        <x:v>Wed</x:v>
      </x:c>
      <x:c r="C30" s="35">
        <x:v>0.333333333333333</x:v>
      </x:c>
      <x:c r="D30" s="35">
        <x:v>0.708333333333333</x:v>
      </x:c>
      <x:c r="E30" s="35">
        <x:v>0.0416666666666667</x:v>
      </x:c>
      <x:c r="F30" s="36">
        <x:f t="shared" si="3"/>
        <x:v>0.333333333333333</x:v>
      </x:c>
      <x:c r="G30" s="35"/>
      <x:c r="H30" s="34"/>
      <x:c r="I30" s="34"/>
      <x:c r="J30" s="35"/>
      <x:c r="K30" s="34"/>
    </x:row>
    <x:row r="31" s="31" customFormat="1">
      <x:c r="A31" s="33">
        <x:f t="shared" si="2"/>
        <x:v>46044</x:v>
      </x:c>
      <x:c r="B31" s="34" t="str">
        <x:f t="shared" si="1"/>
        <x:v>Thu</x:v>
      </x:c>
      <x:c r="C31" s="35">
        <x:v>0.333333333333333</x:v>
      </x:c>
      <x:c r="D31" s="35">
        <x:v>0.708333333333333</x:v>
      </x:c>
      <x:c r="E31" s="35">
        <x:v>0.0416666666666667</x:v>
      </x:c>
      <x:c r="F31" s="36">
        <x:f t="shared" si="3"/>
        <x:v>0.333333333333333</x:v>
      </x:c>
      <x:c r="G31" s="34"/>
      <x:c r="H31" s="34"/>
      <x:c r="I31" s="34"/>
      <x:c r="J31" s="35"/>
      <x:c r="K31" s="34"/>
    </x:row>
    <x:row r="32" s="31" customFormat="1">
      <x:c r="A32" s="33">
        <x:f t="shared" si="2"/>
        <x:v>46045</x:v>
      </x:c>
      <x:c r="B32" s="34" t="str">
        <x:f t="shared" si="1"/>
        <x:v>Fri</x:v>
      </x:c>
      <x:c r="C32" s="35">
        <x:v>0.333333333333333</x:v>
      </x:c>
      <x:c r="D32" s="35">
        <x:v>0.708333333333333</x:v>
      </x:c>
      <x:c r="E32" s="35">
        <x:v>0.0416666666666667</x:v>
      </x:c>
      <x:c r="F32" s="36">
        <x:f t="shared" si="3"/>
        <x:v>0.333333333333333</x:v>
      </x:c>
      <x:c r="G32" s="35"/>
      <x:c r="H32" s="34"/>
      <x:c r="I32" s="34"/>
      <x:c r="J32" s="35"/>
      <x:c r="K32" s="34"/>
    </x:row>
    <x:row r="33" s="31" customFormat="1">
      <x:c r="A33" s="94">
        <x:f t="shared" si="2"/>
        <x:v>46046</x:v>
      </x:c>
      <x:c r="B33" s="95" t="str">
        <x:f t="shared" si="1"/>
        <x:v>Sat</x:v>
      </x:c>
      <x:c r="C33" s="96"/>
      <x:c r="D33" s="96"/>
      <x:c r="E33" s="96"/>
      <x:c r="F33" s="96"/>
      <x:c r="G33" s="96"/>
      <x:c r="H33" s="96"/>
      <x:c r="I33" s="96"/>
      <x:c r="J33" s="96"/>
      <x:c r="K33" s="95"/>
    </x:row>
    <x:row r="34" s="31" customFormat="1">
      <x:c r="A34" s="94">
        <x:f t="shared" si="2"/>
        <x:v>46047</x:v>
      </x:c>
      <x:c r="B34" s="95" t="str">
        <x:f t="shared" si="1"/>
        <x:v>Sun</x:v>
      </x:c>
      <x:c r="C34" s="96"/>
      <x:c r="D34" s="96"/>
      <x:c r="E34" s="96"/>
      <x:c r="F34" s="96"/>
      <x:c r="G34" s="96"/>
      <x:c r="H34" s="96"/>
      <x:c r="I34" s="96"/>
      <x:c r="J34" s="96"/>
      <x:c r="K34" s="95"/>
    </x:row>
    <x:row r="35" s="31" customFormat="1">
      <x:c r="A35" s="33">
        <x:f t="shared" si="2"/>
        <x:v>46048</x:v>
      </x:c>
      <x:c r="B35" s="34" t="str">
        <x:f t="shared" si="1"/>
        <x:v>Mon</x:v>
      </x:c>
      <x:c r="C35" s="35">
        <x:v>0.333333333333333</x:v>
      </x:c>
      <x:c r="D35" s="35">
        <x:v>0.708333333333333</x:v>
      </x:c>
      <x:c r="E35" s="35">
        <x:v>0.0416666666666667</x:v>
      </x:c>
      <x:c r="F35" s="36">
        <x:f t="shared" si="3"/>
        <x:v>0.333333333333333</x:v>
      </x:c>
      <x:c r="G35" s="34"/>
      <x:c r="H35" s="34"/>
      <x:c r="I35" s="34"/>
      <x:c r="J35" s="35"/>
      <x:c r="K35" s="34"/>
    </x:row>
    <x:row r="36" s="31" customFormat="1">
      <x:c r="A36" s="33">
        <x:f t="shared" si="2"/>
        <x:v>46049</x:v>
      </x:c>
      <x:c r="B36" s="34" t="str">
        <x:f t="shared" si="1"/>
        <x:v>Tue</x:v>
      </x:c>
      <x:c r="C36" s="35">
        <x:v>0.333333333333333</x:v>
      </x:c>
      <x:c r="D36" s="35">
        <x:v>0.708333333333333</x:v>
      </x:c>
      <x:c r="E36" s="35">
        <x:v>0.0416666666666667</x:v>
      </x:c>
      <x:c r="F36" s="36">
        <x:f t="shared" si="3"/>
        <x:v>0.333333333333333</x:v>
      </x:c>
      <x:c r="G36" s="35"/>
      <x:c r="H36" s="34"/>
      <x:c r="I36" s="34"/>
      <x:c r="J36" s="35"/>
      <x:c r="K36" s="34"/>
    </x:row>
    <x:row r="37" s="31" customFormat="1">
      <x:c r="A37" s="33">
        <x:f t="shared" si="2"/>
        <x:v>46050</x:v>
      </x:c>
      <x:c r="B37" s="34" t="str">
        <x:f t="shared" si="1"/>
        <x:v>Wed</x:v>
      </x:c>
      <x:c r="C37" s="35">
        <x:v>0.333333333333333</x:v>
      </x:c>
      <x:c r="D37" s="35">
        <x:v>0.708333333333333</x:v>
      </x:c>
      <x:c r="E37" s="35">
        <x:v>0.0416666666666667</x:v>
      </x:c>
      <x:c r="F37" s="36">
        <x:f t="shared" si="3"/>
        <x:v>0.333333333333333</x:v>
      </x:c>
      <x:c r="G37" s="35"/>
      <x:c r="H37" s="34"/>
      <x:c r="I37" s="34"/>
      <x:c r="J37" s="35"/>
      <x:c r="K37" s="34"/>
    </x:row>
    <x:row r="38" s="31" customFormat="1">
      <x:c r="A38" s="33">
        <x:f t="shared" si="2"/>
        <x:v>46051</x:v>
      </x:c>
      <x:c r="B38" s="34" t="str">
        <x:f t="shared" si="1"/>
        <x:v>Thu</x:v>
      </x:c>
      <x:c r="C38" s="35">
        <x:v>0.333333333333333</x:v>
      </x:c>
      <x:c r="D38" s="35">
        <x:v>0.708333333333333</x:v>
      </x:c>
      <x:c r="E38" s="35">
        <x:v>0.0416666666666667</x:v>
      </x:c>
      <x:c r="F38" s="36">
        <x:f t="shared" si="3"/>
        <x:v>0.333333333333333</x:v>
      </x:c>
      <x:c r="G38" s="34"/>
      <x:c r="H38" s="34"/>
      <x:c r="I38" s="34"/>
      <x:c r="J38" s="35"/>
      <x:c r="K38" s="34"/>
    </x:row>
    <x:row r="39" s="31" customFormat="1">
      <x:c r="A39" s="33">
        <x:f t="shared" si="2"/>
        <x:v>46052</x:v>
      </x:c>
      <x:c r="B39" s="34" t="str">
        <x:f t="shared" si="1"/>
        <x:v>Fri</x:v>
      </x:c>
      <x:c r="C39" s="35">
        <x:v>0.333333333333333</x:v>
      </x:c>
      <x:c r="D39" s="35">
        <x:v>0.708333333333333</x:v>
      </x:c>
      <x:c r="E39" s="35">
        <x:v>0.0416666666666667</x:v>
      </x:c>
      <x:c r="F39" s="36">
        <x:f t="shared" si="3"/>
        <x:v>0.333333333333333</x:v>
      </x:c>
      <x:c r="G39" s="35"/>
      <x:c r="H39" s="34"/>
      <x:c r="I39" s="34"/>
      <x:c r="J39" s="35"/>
      <x:c r="K39" s="34"/>
    </x:row>
    <x:row r="40">
      <x:c r="A40" s="97">
        <x:f t="shared" si="2"/>
        <x:v>46053</x:v>
      </x:c>
      <x:c r="B40" s="98" t="str">
        <x:f t="shared" si="1"/>
        <x:v>Sat</x:v>
      </x:c>
      <x:c r="C40" s="101"/>
      <x:c r="D40" s="101"/>
      <x:c r="E40" s="101"/>
      <x:c r="F40" s="101"/>
      <x:c r="G40" s="95"/>
      <x:c r="H40" s="95"/>
      <x:c r="I40" s="95"/>
      <x:c r="J40" s="95"/>
      <x:c r="K40" s="95"/>
    </x:row>
  </x:sheetData>
  <x:conditionalFormatting sqref="H10:J10">
    <x:cfRule type="expression" dxfId="0" priority="350">
      <x:formula>$B10="土"</x:formula>
    </x:cfRule>
    <x:cfRule type="expression" dxfId="0" priority="351">
      <x:formula>$B10="日"</x:formula>
    </x:cfRule>
  </x:conditionalFormatting>
  <x:conditionalFormatting sqref="H10:K10">
    <x:cfRule type="timePeriod" dxfId="1" priority="352" timePeriod="lastMonth">
      <x:formula>AND(MONTH(H10)=MONTH(EDATE(TODAY(),0-1)),YEAR(H10)=YEAR(EDATE(TODAY(),0-1)))</x:formula>
    </x:cfRule>
  </x:conditionalFormatting>
  <x:conditionalFormatting sqref="K10:K10">
    <x:cfRule type="expression" dxfId="0" priority="353">
      <x:formula>WEEKDAY(K$10)=L$4</x:formula>
    </x:cfRule>
  </x:conditionalFormatting>
  <x:conditionalFormatting sqref="E11:E11">
    <x:cfRule type="expression" dxfId="0" priority="191">
      <x:formula>$B11="土"</x:formula>
    </x:cfRule>
    <x:cfRule type="expression" dxfId="0" priority="192">
      <x:formula>$B11="日"</x:formula>
    </x:cfRule>
  </x:conditionalFormatting>
  <x:conditionalFormatting sqref="F11:F11">
    <x:cfRule type="timePeriod" dxfId="1" priority="160" timePeriod="lastMonth">
      <x:formula>AND(MONTH(F11)=MONTH(EDATE(TODAY(),0-1)),YEAR(F11)=YEAR(EDATE(TODAY(),0-1)))</x:formula>
    </x:cfRule>
    <x:cfRule type="expression" dxfId="0" priority="161">
      <x:formula>$B11="土"</x:formula>
    </x:cfRule>
    <x:cfRule type="expression" dxfId="0" priority="162">
      <x:formula>$B11="日"</x:formula>
    </x:cfRule>
  </x:conditionalFormatting>
  <x:conditionalFormatting sqref="G11:J11">
    <x:cfRule type="expression" dxfId="0" priority="362">
      <x:formula>$B11="土"</x:formula>
    </x:cfRule>
    <x:cfRule type="expression" dxfId="0" priority="363">
      <x:formula>$B11="日"</x:formula>
    </x:cfRule>
  </x:conditionalFormatting>
  <x:conditionalFormatting sqref="E14:E14">
    <x:cfRule type="timePeriod" dxfId="1" priority="301" timePeriod="lastMonth">
      <x:formula>AND(MONTH(E14)=MONTH(EDATE(TODAY(),0-1)),YEAR(E14)=YEAR(EDATE(TODAY(),0-1)))</x:formula>
    </x:cfRule>
    <x:cfRule type="expression" dxfId="0" priority="302">
      <x:formula>$B14="土"</x:formula>
    </x:cfRule>
    <x:cfRule type="expression" dxfId="0" priority="303">
      <x:formula>$B14="日"</x:formula>
    </x:cfRule>
  </x:conditionalFormatting>
  <x:conditionalFormatting sqref="H14:I14">
    <x:cfRule type="expression" dxfId="0" priority="304">
      <x:formula>$B14="土"</x:formula>
    </x:cfRule>
    <x:cfRule type="expression" dxfId="0" priority="305">
      <x:formula>$B14="日"</x:formula>
    </x:cfRule>
    <x:cfRule type="timePeriod" dxfId="1" priority="306" timePeriod="lastMonth">
      <x:formula>AND(MONTH(H14)=MONTH(EDATE(TODAY(),0-1)),YEAR(H14)=YEAR(EDATE(TODAY(),0-1)))</x:formula>
    </x:cfRule>
  </x:conditionalFormatting>
  <x:conditionalFormatting sqref="J14:J14">
    <x:cfRule type="timePeriod" dxfId="1" priority="300" timePeriod="lastMonth">
      <x:formula>AND(MONTH(J14)=MONTH(EDATE(TODAY(),0-1)),YEAR(J14)=YEAR(EDATE(TODAY(),0-1)))</x:formula>
    </x:cfRule>
    <x:cfRule type="expression" dxfId="2" priority="298">
      <x:formula>$B14="日"</x:formula>
    </x:cfRule>
    <x:cfRule type="expression" dxfId="2" priority="299">
      <x:formula>$B14="土"</x:formula>
    </x:cfRule>
  </x:conditionalFormatting>
  <x:conditionalFormatting sqref="K14:K14">
    <x:cfRule type="timePeriod" dxfId="1" priority="296" timePeriod="lastMonth">
      <x:formula>AND(MONTH(K14)=MONTH(EDATE(TODAY(),0-1)),YEAR(K14)=YEAR(EDATE(TODAY(),0-1)))</x:formula>
    </x:cfRule>
    <x:cfRule type="expression" dxfId="0" priority="297">
      <x:formula>WEEKDAY(K$10)=L$4</x:formula>
    </x:cfRule>
  </x:conditionalFormatting>
  <x:conditionalFormatting sqref="E15:F15">
    <x:cfRule type="timePeriod" dxfId="1" priority="293" timePeriod="lastMonth">
      <x:formula>AND(MONTH(E15)=MONTH(EDATE(TODAY(),0-1)),YEAR(E15)=YEAR(EDATE(TODAY(),0-1)))</x:formula>
    </x:cfRule>
    <x:cfRule type="expression" dxfId="0" priority="294">
      <x:formula>$B15="土"</x:formula>
    </x:cfRule>
    <x:cfRule type="expression" dxfId="0" priority="295">
      <x:formula>$B15="日"</x:formula>
    </x:cfRule>
  </x:conditionalFormatting>
  <x:conditionalFormatting sqref="E15:E15">
    <x:cfRule type="timePeriod" dxfId="1" priority="166" timePeriod="lastMonth">
      <x:formula>AND(MONTH(E15)=MONTH(EDATE(TODAY(),0-1)),YEAR(E15)=YEAR(EDATE(TODAY(),0-1)))</x:formula>
    </x:cfRule>
    <x:cfRule type="expression" dxfId="0" priority="167">
      <x:formula>$B15="土"</x:formula>
    </x:cfRule>
    <x:cfRule type="expression" dxfId="0" priority="168">
      <x:formula>$B15="日"</x:formula>
    </x:cfRule>
  </x:conditionalFormatting>
  <x:conditionalFormatting sqref="F15:F15">
    <x:cfRule type="timePeriod" dxfId="1" priority="290" timePeriod="lastMonth">
      <x:formula>AND(MONTH(F15)=MONTH(EDATE(TODAY(),0-1)),YEAR(F15)=YEAR(EDATE(TODAY(),0-1)))</x:formula>
    </x:cfRule>
    <x:cfRule type="expression" dxfId="0" priority="291">
      <x:formula>$B15="土"</x:formula>
    </x:cfRule>
    <x:cfRule type="expression" dxfId="0" priority="292">
      <x:formula>$B15="日"</x:formula>
    </x:cfRule>
  </x:conditionalFormatting>
  <x:conditionalFormatting sqref="G15:G15">
    <x:cfRule type="timePeriod" dxfId="1" priority="287" timePeriod="lastMonth">
      <x:formula>AND(MONTH(G15)=MONTH(EDATE(TODAY(),0-1)),YEAR(G15)=YEAR(EDATE(TODAY(),0-1)))</x:formula>
    </x:cfRule>
    <x:cfRule type="expression" dxfId="0" priority="288">
      <x:formula>$B15="土"</x:formula>
    </x:cfRule>
    <x:cfRule type="expression" dxfId="0" priority="289">
      <x:formula>$B15="日"</x:formula>
    </x:cfRule>
  </x:conditionalFormatting>
  <x:conditionalFormatting sqref="E16:F16">
    <x:cfRule type="timePeriod" dxfId="1" priority="284" timePeriod="lastMonth">
      <x:formula>AND(MONTH(E16)=MONTH(EDATE(TODAY(),0-1)),YEAR(E16)=YEAR(EDATE(TODAY(),0-1)))</x:formula>
    </x:cfRule>
    <x:cfRule type="expression" dxfId="0" priority="285">
      <x:formula>$B16="土"</x:formula>
    </x:cfRule>
    <x:cfRule type="expression" dxfId="0" priority="286">
      <x:formula>$B16="日"</x:formula>
    </x:cfRule>
  </x:conditionalFormatting>
  <x:conditionalFormatting sqref="F16:F16">
    <x:cfRule type="timePeriod" dxfId="1" priority="347" timePeriod="lastMonth">
      <x:formula>AND(MONTH(F16)=MONTH(EDATE(TODAY(),0-1)),YEAR(F16)=YEAR(EDATE(TODAY(),0-1)))</x:formula>
    </x:cfRule>
    <x:cfRule type="expression" dxfId="0" priority="348">
      <x:formula>$B16="土"</x:formula>
    </x:cfRule>
    <x:cfRule type="expression" dxfId="0" priority="349">
      <x:formula>$B16="日"</x:formula>
    </x:cfRule>
  </x:conditionalFormatting>
  <x:conditionalFormatting sqref="G16:G16">
    <x:cfRule type="timePeriod" dxfId="1" priority="281" timePeriod="lastMonth">
      <x:formula>AND(MONTH(G16)=MONTH(EDATE(TODAY(),0-1)),YEAR(G16)=YEAR(EDATE(TODAY(),0-1)))</x:formula>
    </x:cfRule>
    <x:cfRule type="expression" dxfId="0" priority="282">
      <x:formula>$B16="土"</x:formula>
    </x:cfRule>
    <x:cfRule type="expression" dxfId="0" priority="283">
      <x:formula>$B16="日"</x:formula>
    </x:cfRule>
  </x:conditionalFormatting>
  <x:conditionalFormatting sqref="F17:F17">
    <x:cfRule type="timePeriod" dxfId="1" priority="148" timePeriod="lastMonth">
      <x:formula>AND(MONTH(F17)=MONTH(EDATE(TODAY(),0-1)),YEAR(F17)=YEAR(EDATE(TODAY(),0-1)))</x:formula>
    </x:cfRule>
    <x:cfRule type="expression" dxfId="0" priority="149">
      <x:formula>$B17="土"</x:formula>
    </x:cfRule>
    <x:cfRule type="expression" dxfId="0" priority="150">
      <x:formula>$B17="日"</x:formula>
    </x:cfRule>
  </x:conditionalFormatting>
  <x:conditionalFormatting sqref="K17:K17">
    <x:cfRule type="expression" dxfId="0" priority="346">
      <x:formula>WEEKDAY(K$10)=L$4</x:formula>
    </x:cfRule>
  </x:conditionalFormatting>
  <x:conditionalFormatting sqref="E18:E18">
    <x:cfRule type="expression" dxfId="0" priority="189">
      <x:formula>$B18="土"</x:formula>
    </x:cfRule>
    <x:cfRule type="expression" dxfId="0" priority="190">
      <x:formula>$B18="日"</x:formula>
    </x:cfRule>
  </x:conditionalFormatting>
  <x:conditionalFormatting sqref="G18:I18">
    <x:cfRule type="expression" dxfId="0" priority="360">
      <x:formula>$B18="土"</x:formula>
    </x:cfRule>
    <x:cfRule type="expression" dxfId="0" priority="361">
      <x:formula>$B18="日"</x:formula>
    </x:cfRule>
  </x:conditionalFormatting>
  <x:conditionalFormatting sqref="J18:J18">
    <x:cfRule type="expression" dxfId="0" priority="228">
      <x:formula>$B18="土"</x:formula>
    </x:cfRule>
    <x:cfRule type="expression" dxfId="0" priority="229">
      <x:formula>$B18="日"</x:formula>
    </x:cfRule>
    <x:cfRule type="timePeriod" dxfId="1" priority="230" timePeriod="lastMonth">
      <x:formula>AND(MONTH(J18)=MONTH(EDATE(TODAY(),0-1)),YEAR(J18)=YEAR(EDATE(TODAY(),0-1)))</x:formula>
    </x:cfRule>
  </x:conditionalFormatting>
  <x:conditionalFormatting sqref="K19:K19">
    <x:cfRule type="timePeriod" dxfId="1" priority="122" timePeriod="lastMonth">
      <x:formula>AND(MONTH(K19)=MONTH(EDATE(TODAY(),0-1)),YEAR(K19)=YEAR(EDATE(TODAY(),0-1)))</x:formula>
    </x:cfRule>
    <x:cfRule type="expression" dxfId="0" priority="123">
      <x:formula>WEEKDAY(K$10)=L$4</x:formula>
    </x:cfRule>
  </x:conditionalFormatting>
  <x:conditionalFormatting sqref="H20:H20">
    <x:cfRule type="expression" dxfId="0" priority="127">
      <x:formula>$B20="土"</x:formula>
    </x:cfRule>
    <x:cfRule type="expression" dxfId="0" priority="128">
      <x:formula>$B20="日"</x:formula>
    </x:cfRule>
    <x:cfRule type="timePeriod" dxfId="1" priority="129" timePeriod="lastMonth">
      <x:formula>AND(MONTH(H20)=MONTH(EDATE(TODAY(),0-1)),YEAR(H20)=YEAR(EDATE(TODAY(),0-1)))</x:formula>
    </x:cfRule>
  </x:conditionalFormatting>
  <x:conditionalFormatting sqref="K20:K20">
    <x:cfRule type="timePeriod" dxfId="1" priority="112" timePeriod="lastMonth">
      <x:formula>AND(MONTH(K20)=MONTH(EDATE(TODAY(),0-1)),YEAR(K20)=YEAR(EDATE(TODAY(),0-1)))</x:formula>
    </x:cfRule>
    <x:cfRule type="expression" dxfId="0" priority="113">
      <x:formula>WEEKDAY(K$10)=L$4</x:formula>
    </x:cfRule>
  </x:conditionalFormatting>
  <x:conditionalFormatting sqref="E21:E21">
    <x:cfRule type="timePeriod" dxfId="1" priority="278" timePeriod="lastMonth">
      <x:formula>AND(MONTH(E21)=MONTH(EDATE(TODAY(),0-1)),YEAR(E21)=YEAR(EDATE(TODAY(),0-1)))</x:formula>
    </x:cfRule>
    <x:cfRule type="expression" dxfId="0" priority="279">
      <x:formula>$B21="土"</x:formula>
    </x:cfRule>
    <x:cfRule type="expression" dxfId="0" priority="280">
      <x:formula>$B21="日"</x:formula>
    </x:cfRule>
  </x:conditionalFormatting>
  <x:conditionalFormatting sqref="J21:J21">
    <x:cfRule type="timePeriod" dxfId="1" priority="256" timePeriod="lastMonth">
      <x:formula>AND(MONTH(J21)=MONTH(EDATE(TODAY(),0-1)),YEAR(J21)=YEAR(EDATE(TODAY(),0-1)))</x:formula>
    </x:cfRule>
    <x:cfRule type="expression" dxfId="2" priority="254">
      <x:formula>$B21="日"</x:formula>
    </x:cfRule>
    <x:cfRule type="expression" dxfId="2" priority="255">
      <x:formula>$B21="土"</x:formula>
    </x:cfRule>
  </x:conditionalFormatting>
  <x:conditionalFormatting sqref="K21:K21">
    <x:cfRule type="timePeriod" dxfId="1" priority="243" timePeriod="lastMonth">
      <x:formula>AND(MONTH(K21)=MONTH(EDATE(TODAY(),0-1)),YEAR(K21)=YEAR(EDATE(TODAY(),0-1)))</x:formula>
    </x:cfRule>
    <x:cfRule type="expression" dxfId="0" priority="244">
      <x:formula>WEEKDAY(K$10)=L$4</x:formula>
    </x:cfRule>
  </x:conditionalFormatting>
  <x:conditionalFormatting sqref="E22:F22">
    <x:cfRule type="timePeriod" dxfId="1" priority="275" timePeriod="lastMonth">
      <x:formula>AND(MONTH(E22)=MONTH(EDATE(TODAY(),0-1)),YEAR(E22)=YEAR(EDATE(TODAY(),0-1)))</x:formula>
    </x:cfRule>
    <x:cfRule type="expression" dxfId="0" priority="276">
      <x:formula>$B22="土"</x:formula>
    </x:cfRule>
    <x:cfRule type="expression" dxfId="0" priority="277">
      <x:formula>$B22="日"</x:formula>
    </x:cfRule>
  </x:conditionalFormatting>
  <x:conditionalFormatting sqref="E23:F23">
    <x:cfRule type="timePeriod" dxfId="1" priority="272" timePeriod="lastMonth">
      <x:formula>AND(MONTH(E23)=MONTH(EDATE(TODAY(),0-1)),YEAR(E23)=YEAR(EDATE(TODAY(),0-1)))</x:formula>
    </x:cfRule>
    <x:cfRule type="expression" dxfId="0" priority="273">
      <x:formula>$B23="土"</x:formula>
    </x:cfRule>
    <x:cfRule type="expression" dxfId="0" priority="274">
      <x:formula>$B23="日"</x:formula>
    </x:cfRule>
  </x:conditionalFormatting>
  <x:conditionalFormatting sqref="G23:G23">
    <x:cfRule type="timePeriod" dxfId="1" priority="240" timePeriod="lastMonth">
      <x:formula>AND(MONTH(G23)=MONTH(EDATE(TODAY(),0-1)),YEAR(G23)=YEAR(EDATE(TODAY(),0-1)))</x:formula>
    </x:cfRule>
    <x:cfRule type="expression" dxfId="0" priority="241">
      <x:formula>$B23="土"</x:formula>
    </x:cfRule>
    <x:cfRule type="expression" dxfId="0" priority="242">
      <x:formula>$B23="日"</x:formula>
    </x:cfRule>
  </x:conditionalFormatting>
  <x:conditionalFormatting sqref="K24:K24">
    <x:cfRule type="expression" dxfId="0" priority="339">
      <x:formula>WEEKDAY(K$10)=L$4</x:formula>
    </x:cfRule>
  </x:conditionalFormatting>
  <x:conditionalFormatting sqref="E25:E25">
    <x:cfRule type="expression" dxfId="0" priority="187">
      <x:formula>$B25="土"</x:formula>
    </x:cfRule>
    <x:cfRule type="expression" dxfId="0" priority="188">
      <x:formula>$B25="日"</x:formula>
    </x:cfRule>
  </x:conditionalFormatting>
  <x:conditionalFormatting sqref="C26:J26">
    <x:cfRule type="timePeriod" dxfId="1" priority="73" timePeriod="lastMonth">
      <x:formula>AND(MONTH(C26)=MONTH(EDATE(TODAY(),0-1)),YEAR(C26)=YEAR(EDATE(TODAY(),0-1)))</x:formula>
    </x:cfRule>
    <x:cfRule type="expression" dxfId="0" priority="74">
      <x:formula>$B26="土"</x:formula>
    </x:cfRule>
    <x:cfRule type="expression" dxfId="0" priority="75">
      <x:formula>$B26="日"</x:formula>
    </x:cfRule>
  </x:conditionalFormatting>
  <x:conditionalFormatting sqref="K26:K26">
    <x:cfRule type="timePeriod" dxfId="1" priority="89" timePeriod="lastMonth">
      <x:formula>AND(MONTH(K26)=MONTH(EDATE(TODAY(),0-1)),YEAR(K26)=YEAR(EDATE(TODAY(),0-1)))</x:formula>
    </x:cfRule>
    <x:cfRule type="expression" dxfId="0" priority="90">
      <x:formula>WEEKDAY(K$10)=L$4</x:formula>
    </x:cfRule>
  </x:conditionalFormatting>
  <x:conditionalFormatting sqref="C27:J27">
    <x:cfRule type="timePeriod" dxfId="1" priority="70" timePeriod="lastMonth">
      <x:formula>AND(MONTH(C27)=MONTH(EDATE(TODAY(),0-1)),YEAR(C27)=YEAR(EDATE(TODAY(),0-1)))</x:formula>
    </x:cfRule>
    <x:cfRule type="expression" dxfId="0" priority="71">
      <x:formula>$B27="土"</x:formula>
    </x:cfRule>
    <x:cfRule type="expression" dxfId="0" priority="72">
      <x:formula>$B27="日"</x:formula>
    </x:cfRule>
  </x:conditionalFormatting>
  <x:conditionalFormatting sqref="K27:K27">
    <x:cfRule type="timePeriod" dxfId="1" priority="79" timePeriod="lastMonth">
      <x:formula>AND(MONTH(K27)=MONTH(EDATE(TODAY(),0-1)),YEAR(K27)=YEAR(EDATE(TODAY(),0-1)))</x:formula>
    </x:cfRule>
    <x:cfRule type="expression" dxfId="0" priority="80">
      <x:formula>WEEKDAY(K$10)=L$4</x:formula>
    </x:cfRule>
  </x:conditionalFormatting>
  <x:conditionalFormatting sqref="E28:E28">
    <x:cfRule type="timePeriod" dxfId="1" priority="269" timePeriod="lastMonth">
      <x:formula>AND(MONTH(E28)=MONTH(EDATE(TODAY(),0-1)),YEAR(E28)=YEAR(EDATE(TODAY(),0-1)))</x:formula>
    </x:cfRule>
    <x:cfRule type="expression" dxfId="0" priority="270">
      <x:formula>$B28="土"</x:formula>
    </x:cfRule>
    <x:cfRule type="expression" dxfId="0" priority="271">
      <x:formula>$B28="日"</x:formula>
    </x:cfRule>
  </x:conditionalFormatting>
  <x:conditionalFormatting sqref="J28:J28">
    <x:cfRule type="timePeriod" dxfId="1" priority="253" timePeriod="lastMonth">
      <x:formula>AND(MONTH(J28)=MONTH(EDATE(TODAY(),0-1)),YEAR(J28)=YEAR(EDATE(TODAY(),0-1)))</x:formula>
    </x:cfRule>
    <x:cfRule type="expression" dxfId="2" priority="251">
      <x:formula>$B28="日"</x:formula>
    </x:cfRule>
    <x:cfRule type="expression" dxfId="2" priority="252">
      <x:formula>$B28="土"</x:formula>
    </x:cfRule>
  </x:conditionalFormatting>
  <x:conditionalFormatting sqref="E29:F29">
    <x:cfRule type="timePeriod" dxfId="1" priority="266" timePeriod="lastMonth">
      <x:formula>AND(MONTH(E29)=MONTH(EDATE(TODAY(),0-1)),YEAR(E29)=YEAR(EDATE(TODAY(),0-1)))</x:formula>
    </x:cfRule>
    <x:cfRule type="expression" dxfId="0" priority="267">
      <x:formula>$B29="土"</x:formula>
    </x:cfRule>
    <x:cfRule type="expression" dxfId="0" priority="268">
      <x:formula>$B29="日"</x:formula>
    </x:cfRule>
  </x:conditionalFormatting>
  <x:conditionalFormatting sqref="E30:F30">
    <x:cfRule type="timePeriod" dxfId="1" priority="263" timePeriod="lastMonth">
      <x:formula>AND(MONTH(E30)=MONTH(EDATE(TODAY(),0-1)),YEAR(E30)=YEAR(EDATE(TODAY(),0-1)))</x:formula>
    </x:cfRule>
    <x:cfRule type="expression" dxfId="0" priority="264">
      <x:formula>$B30="土"</x:formula>
    </x:cfRule>
    <x:cfRule type="expression" dxfId="0" priority="265">
      <x:formula>$B30="日"</x:formula>
    </x:cfRule>
  </x:conditionalFormatting>
  <x:conditionalFormatting sqref="E32:E32">
    <x:cfRule type="expression" dxfId="0" priority="185">
      <x:formula>$B32="土"</x:formula>
    </x:cfRule>
    <x:cfRule type="expression" dxfId="0" priority="186">
      <x:formula>$B32="日"</x:formula>
    </x:cfRule>
  </x:conditionalFormatting>
  <x:conditionalFormatting sqref="C33:J33">
    <x:cfRule type="timePeriod" dxfId="1" priority="40" timePeriod="lastMonth">
      <x:formula>AND(MONTH(C33)=MONTH(EDATE(TODAY(),0-1)),YEAR(C33)=YEAR(EDATE(TODAY(),0-1)))</x:formula>
    </x:cfRule>
    <x:cfRule type="expression" dxfId="0" priority="41">
      <x:formula>$B33="土"</x:formula>
    </x:cfRule>
    <x:cfRule type="expression" dxfId="0" priority="42">
      <x:formula>$B33="日"</x:formula>
    </x:cfRule>
  </x:conditionalFormatting>
  <x:conditionalFormatting sqref="K33:K33">
    <x:cfRule type="timePeriod" dxfId="1" priority="56" timePeriod="lastMonth">
      <x:formula>AND(MONTH(K33)=MONTH(EDATE(TODAY(),0-1)),YEAR(K33)=YEAR(EDATE(TODAY(),0-1)))</x:formula>
    </x:cfRule>
    <x:cfRule type="expression" dxfId="0" priority="57">
      <x:formula>WEEKDAY(K$10)=L$4</x:formula>
    </x:cfRule>
  </x:conditionalFormatting>
  <x:conditionalFormatting sqref="C34:J34">
    <x:cfRule type="timePeriod" dxfId="1" priority="37" timePeriod="lastMonth">
      <x:formula>AND(MONTH(C34)=MONTH(EDATE(TODAY(),0-1)),YEAR(C34)=YEAR(EDATE(TODAY(),0-1)))</x:formula>
    </x:cfRule>
    <x:cfRule type="expression" dxfId="0" priority="38">
      <x:formula>$B34="土"</x:formula>
    </x:cfRule>
    <x:cfRule type="expression" dxfId="0" priority="39">
      <x:formula>$B34="日"</x:formula>
    </x:cfRule>
  </x:conditionalFormatting>
  <x:conditionalFormatting sqref="K34:K34">
    <x:cfRule type="timePeriod" dxfId="1" priority="46" timePeriod="lastMonth">
      <x:formula>AND(MONTH(K34)=MONTH(EDATE(TODAY(),0-1)),YEAR(K34)=YEAR(EDATE(TODAY(),0-1)))</x:formula>
    </x:cfRule>
    <x:cfRule type="expression" dxfId="0" priority="47">
      <x:formula>WEEKDAY(K$10)=L$4</x:formula>
    </x:cfRule>
  </x:conditionalFormatting>
  <x:conditionalFormatting sqref="E35:E35">
    <x:cfRule type="timePeriod" dxfId="1" priority="204" timePeriod="lastMonth">
      <x:formula>AND(MONTH(E35)=MONTH(EDATE(TODAY(),0-1)),YEAR(E35)=YEAR(EDATE(TODAY(),0-1)))</x:formula>
    </x:cfRule>
    <x:cfRule type="expression" dxfId="0" priority="205">
      <x:formula>$B35="土"</x:formula>
    </x:cfRule>
    <x:cfRule type="expression" dxfId="0" priority="206">
      <x:formula>$B35="日"</x:formula>
    </x:cfRule>
  </x:conditionalFormatting>
  <x:conditionalFormatting sqref="J35:J35">
    <x:cfRule type="timePeriod" dxfId="1" priority="250" timePeriod="lastMonth">
      <x:formula>AND(MONTH(J35)=MONTH(EDATE(TODAY(),0-1)),YEAR(J35)=YEAR(EDATE(TODAY(),0-1)))</x:formula>
    </x:cfRule>
    <x:cfRule type="expression" dxfId="2" priority="248">
      <x:formula>$B35="日"</x:formula>
    </x:cfRule>
    <x:cfRule type="expression" dxfId="2" priority="249">
      <x:formula>$B35="土"</x:formula>
    </x:cfRule>
  </x:conditionalFormatting>
  <x:conditionalFormatting sqref="E36:F36">
    <x:cfRule type="timePeriod" dxfId="1" priority="260" timePeriod="lastMonth">
      <x:formula>AND(MONTH(E36)=MONTH(EDATE(TODAY(),0-1)),YEAR(E36)=YEAR(EDATE(TODAY(),0-1)))</x:formula>
    </x:cfRule>
    <x:cfRule type="expression" dxfId="0" priority="261">
      <x:formula>$B36="土"</x:formula>
    </x:cfRule>
    <x:cfRule type="expression" dxfId="0" priority="262">
      <x:formula>$B36="日"</x:formula>
    </x:cfRule>
  </x:conditionalFormatting>
  <x:conditionalFormatting sqref="G36:G36">
    <x:cfRule type="timePeriod" dxfId="1" priority="234" timePeriod="lastMonth">
      <x:formula>AND(MONTH(G36)=MONTH(EDATE(TODAY(),0-1)),YEAR(G36)=YEAR(EDATE(TODAY(),0-1)))</x:formula>
    </x:cfRule>
    <x:cfRule type="expression" dxfId="0" priority="235">
      <x:formula>$B36="土"</x:formula>
    </x:cfRule>
    <x:cfRule type="expression" dxfId="0" priority="236">
      <x:formula>$B36="日"</x:formula>
    </x:cfRule>
  </x:conditionalFormatting>
  <x:conditionalFormatting sqref="E37:F37">
    <x:cfRule type="timePeriod" dxfId="1" priority="257" timePeriod="lastMonth">
      <x:formula>AND(MONTH(E37)=MONTH(EDATE(TODAY(),0-1)),YEAR(E37)=YEAR(EDATE(TODAY(),0-1)))</x:formula>
    </x:cfRule>
    <x:cfRule type="expression" dxfId="0" priority="258">
      <x:formula>$B37="土"</x:formula>
    </x:cfRule>
    <x:cfRule type="expression" dxfId="0" priority="259">
      <x:formula>$B37="日"</x:formula>
    </x:cfRule>
  </x:conditionalFormatting>
  <x:conditionalFormatting sqref="G37:G37">
    <x:cfRule type="timePeriod" dxfId="1" priority="231" timePeriod="lastMonth">
      <x:formula>AND(MONTH(G37)=MONTH(EDATE(TODAY(),0-1)),YEAR(G37)=YEAR(EDATE(TODAY(),0-1)))</x:formula>
    </x:cfRule>
    <x:cfRule type="expression" dxfId="0" priority="232">
      <x:formula>$B37="土"</x:formula>
    </x:cfRule>
    <x:cfRule type="expression" dxfId="0" priority="233">
      <x:formula>$B37="日"</x:formula>
    </x:cfRule>
  </x:conditionalFormatting>
  <x:conditionalFormatting sqref="E38:E38">
    <x:cfRule type="timePeriod" dxfId="1" priority="198" timePeriod="lastMonth">
      <x:formula>AND(MONTH(E38)=MONTH(EDATE(TODAY(),0-1)),YEAR(E38)=YEAR(EDATE(TODAY(),0-1)))</x:formula>
    </x:cfRule>
    <x:cfRule type="expression" dxfId="0" priority="199">
      <x:formula>$B38="土"</x:formula>
    </x:cfRule>
    <x:cfRule type="expression" dxfId="0" priority="200">
      <x:formula>$B38="日"</x:formula>
    </x:cfRule>
  </x:conditionalFormatting>
  <x:conditionalFormatting sqref="F38:F38">
    <x:cfRule type="timePeriod" dxfId="1" priority="136" timePeriod="lastMonth">
      <x:formula>AND(MONTH(F38)=MONTH(EDATE(TODAY(),0-1)),YEAR(F38)=YEAR(EDATE(TODAY(),0-1)))</x:formula>
    </x:cfRule>
    <x:cfRule type="expression" dxfId="0" priority="137">
      <x:formula>$B38="土"</x:formula>
    </x:cfRule>
    <x:cfRule type="expression" dxfId="0" priority="138">
      <x:formula>$B38="日"</x:formula>
    </x:cfRule>
  </x:conditionalFormatting>
  <x:conditionalFormatting sqref="E39:E39">
    <x:cfRule type="timePeriod" dxfId="1" priority="195" timePeriod="lastMonth">
      <x:formula>AND(MONTH(E39)=MONTH(EDATE(TODAY(),0-1)),YEAR(E39)=YEAR(EDATE(TODAY(),0-1)))</x:formula>
    </x:cfRule>
    <x:cfRule type="expression" dxfId="0" priority="196">
      <x:formula>$B39="土"</x:formula>
    </x:cfRule>
    <x:cfRule type="expression" dxfId="0" priority="197">
      <x:formula>$B39="日"</x:formula>
    </x:cfRule>
    <x:cfRule type="expression" dxfId="0" priority="193">
      <x:formula>$B39="土"</x:formula>
    </x:cfRule>
    <x:cfRule type="expression" dxfId="0" priority="194">
      <x:formula>$B39="日"</x:formula>
    </x:cfRule>
  </x:conditionalFormatting>
  <x:conditionalFormatting sqref="F39:F39">
    <x:cfRule type="timePeriod" dxfId="1" priority="133" timePeriod="lastMonth">
      <x:formula>AND(MONTH(F39)=MONTH(EDATE(TODAY(),0-1)),YEAR(F39)=YEAR(EDATE(TODAY(),0-1)))</x:formula>
    </x:cfRule>
    <x:cfRule type="expression" dxfId="0" priority="134">
      <x:formula>$B39="土"</x:formula>
    </x:cfRule>
    <x:cfRule type="expression" dxfId="0" priority="135">
      <x:formula>$B39="日"</x:formula>
    </x:cfRule>
  </x:conditionalFormatting>
  <x:conditionalFormatting sqref="B40:B40">
    <x:cfRule type="timePeriod" dxfId="1" priority="30" timePeriod="lastMonth">
      <x:formula>AND(MONTH(B40)=MONTH(EDATE(TODAY(),0-1)),YEAR(B40)=YEAR(EDATE(TODAY(),0-1)))</x:formula>
    </x:cfRule>
  </x:conditionalFormatting>
  <x:conditionalFormatting sqref="C40:D40">
    <x:cfRule type="timePeriod" dxfId="1" priority="3" timePeriod="lastMonth">
      <x:formula>AND(MONTH(C40)=MONTH(EDATE(TODAY(),0-1)),YEAR(C40)=YEAR(EDATE(TODAY(),0-1)))</x:formula>
    </x:cfRule>
    <x:cfRule type="expression" dxfId="0" priority="4">
      <x:formula>$B40="土"</x:formula>
    </x:cfRule>
    <x:cfRule type="expression" dxfId="0" priority="5">
      <x:formula>$B40="日"</x:formula>
    </x:cfRule>
  </x:conditionalFormatting>
  <x:conditionalFormatting sqref="E40:E40">
    <x:cfRule type="timePeriod" dxfId="1" priority="24" timePeriod="lastMonth">
      <x:formula>AND(MONTH(E40)=MONTH(EDATE(TODAY(),0-1)),YEAR(E40)=YEAR(EDATE(TODAY(),0-1)))</x:formula>
    </x:cfRule>
    <x:cfRule type="expression" dxfId="0" priority="25">
      <x:formula>$B40="土"</x:formula>
    </x:cfRule>
    <x:cfRule type="expression" dxfId="0" priority="26">
      <x:formula>$B40="日"</x:formula>
    </x:cfRule>
    <x:cfRule type="timePeriod" dxfId="1" priority="21" timePeriod="lastMonth">
      <x:formula>AND(MONTH(E40)=MONTH(EDATE(TODAY(),0-1)),YEAR(E40)=YEAR(EDATE(TODAY(),0-1)))</x:formula>
    </x:cfRule>
    <x:cfRule type="expression" dxfId="0" priority="22">
      <x:formula>$B40="土"</x:formula>
    </x:cfRule>
    <x:cfRule type="expression" dxfId="0" priority="23">
      <x:formula>$B40="日"</x:formula>
    </x:cfRule>
    <x:cfRule type="expression" dxfId="0" priority="19">
      <x:formula>$B40="土"</x:formula>
    </x:cfRule>
    <x:cfRule type="expression" dxfId="0" priority="20">
      <x:formula>$B40="日"</x:formula>
    </x:cfRule>
    <x:cfRule type="timePeriod" dxfId="1" priority="15" timePeriod="lastMonth">
      <x:formula>AND(MONTH(E40)=MONTH(EDATE(TODAY(),0-1)),YEAR(E40)=YEAR(EDATE(TODAY(),0-1)))</x:formula>
    </x:cfRule>
    <x:cfRule type="expression" dxfId="0" priority="16">
      <x:formula>$B40="土"</x:formula>
    </x:cfRule>
    <x:cfRule type="expression" dxfId="0" priority="17">
      <x:formula>$B40="日"</x:formula>
    </x:cfRule>
    <x:cfRule type="timePeriod" dxfId="1" priority="18" timePeriod="lastMonth">
      <x:formula>AND(MONTH(E40)=MONTH(EDATE(TODAY(),0-1)),YEAR(E40)=YEAR(EDATE(TODAY(),0-1)))</x:formula>
    </x:cfRule>
  </x:conditionalFormatting>
  <x:conditionalFormatting sqref="F40:F40">
    <x:cfRule type="timePeriod" dxfId="1" priority="12" timePeriod="lastMonth">
      <x:formula>AND(MONTH(F40)=MONTH(EDATE(TODAY(),0-1)),YEAR(F40)=YEAR(EDATE(TODAY(),0-1)))</x:formula>
    </x:cfRule>
    <x:cfRule type="expression" dxfId="0" priority="13">
      <x:formula>$B40="土"</x:formula>
    </x:cfRule>
    <x:cfRule type="expression" dxfId="0" priority="14">
      <x:formula>$B40="日"</x:formula>
    </x:cfRule>
    <x:cfRule type="timePeriod" dxfId="1" priority="9" timePeriod="lastMonth">
      <x:formula>AND(MONTH(F40)=MONTH(EDATE(TODAY(),0-1)),YEAR(F40)=YEAR(EDATE(TODAY(),0-1)))</x:formula>
    </x:cfRule>
    <x:cfRule type="expression" dxfId="0" priority="10">
      <x:formula>$B40="土"</x:formula>
    </x:cfRule>
    <x:cfRule type="expression" dxfId="0" priority="11">
      <x:formula>$B40="日"</x:formula>
    </x:cfRule>
    <x:cfRule type="timePeriod" dxfId="1" priority="6" timePeriod="lastMonth">
      <x:formula>AND(MONTH(F40)=MONTH(EDATE(TODAY(),0-1)),YEAR(F40)=YEAR(EDATE(TODAY(),0-1)))</x:formula>
    </x:cfRule>
    <x:cfRule type="expression" dxfId="0" priority="7">
      <x:formula>$B40="土"</x:formula>
    </x:cfRule>
    <x:cfRule type="expression" dxfId="0" priority="8">
      <x:formula>$B40="日"</x:formula>
    </x:cfRule>
  </x:conditionalFormatting>
  <x:conditionalFormatting sqref="G40:K40">
    <x:cfRule type="timePeriod" dxfId="1" priority="1" timePeriod="lastMonth">
      <x:formula>AND(MONTH(G40)=MONTH(EDATE(TODAY(),0-1)),YEAR(G40)=YEAR(EDATE(TODAY(),0-1)))</x:formula>
    </x:cfRule>
    <x:cfRule type="expression" dxfId="0" priority="2">
      <x:formula>WEEKDAY(G$10)=H$4</x:formula>
    </x:cfRule>
  </x:conditionalFormatting>
  <x:conditionalFormatting sqref="B19:B20">
    <x:cfRule type="timePeriod" dxfId="1" priority="132" timePeriod="lastMonth">
      <x:formula>AND(MONTH(B19)=MONTH(EDATE(TODAY(),0-1)),YEAR(B19)=YEAR(EDATE(TODAY(),0-1)))</x:formula>
    </x:cfRule>
  </x:conditionalFormatting>
  <x:conditionalFormatting sqref="B26:B27">
    <x:cfRule type="timePeriod" dxfId="1" priority="99" timePeriod="lastMonth">
      <x:formula>AND(MONTH(B26)=MONTH(EDATE(TODAY(),0-1)),YEAR(B26)=YEAR(EDATE(TODAY(),0-1)))</x:formula>
    </x:cfRule>
  </x:conditionalFormatting>
  <x:conditionalFormatting sqref="B33:B34">
    <x:cfRule type="timePeriod" dxfId="1" priority="66" timePeriod="lastMonth">
      <x:formula>AND(MONTH(B33)=MONTH(EDATE(TODAY(),0-1)),YEAR(B33)=YEAR(EDATE(TODAY(),0-1)))</x:formula>
    </x:cfRule>
  </x:conditionalFormatting>
  <x:conditionalFormatting sqref="E16:E17">
    <x:cfRule type="timePeriod" dxfId="1" priority="178" timePeriod="lastMonth">
      <x:formula>AND(MONTH(E16)=MONTH(EDATE(TODAY(),0-1)),YEAR(E16)=YEAR(EDATE(TODAY(),0-1)))</x:formula>
    </x:cfRule>
    <x:cfRule type="expression" dxfId="0" priority="179">
      <x:formula>$B16="土"</x:formula>
    </x:cfRule>
    <x:cfRule type="expression" dxfId="0" priority="180">
      <x:formula>$B16="日"</x:formula>
    </x:cfRule>
  </x:conditionalFormatting>
  <x:conditionalFormatting sqref="E17:E18">
    <x:cfRule type="timePeriod" dxfId="1" priority="210" timePeriod="lastMonth">
      <x:formula>AND(MONTH(E17)=MONTH(EDATE(TODAY(),0-1)),YEAR(E17)=YEAR(EDATE(TODAY(),0-1)))</x:formula>
    </x:cfRule>
    <x:cfRule type="expression" dxfId="0" priority="211">
      <x:formula>$B17="土"</x:formula>
    </x:cfRule>
    <x:cfRule type="expression" dxfId="0" priority="212">
      <x:formula>$B17="日"</x:formula>
    </x:cfRule>
  </x:conditionalFormatting>
  <x:conditionalFormatting sqref="E21:E24">
    <x:cfRule type="timePeriod" dxfId="1" priority="175" timePeriod="lastMonth">
      <x:formula>AND(MONTH(E21)=MONTH(EDATE(TODAY(),0-1)),YEAR(E21)=YEAR(EDATE(TODAY(),0-1)))</x:formula>
    </x:cfRule>
    <x:cfRule type="expression" dxfId="0" priority="176">
      <x:formula>$B21="土"</x:formula>
    </x:cfRule>
    <x:cfRule type="expression" dxfId="0" priority="177">
      <x:formula>$B21="日"</x:formula>
    </x:cfRule>
  </x:conditionalFormatting>
  <x:conditionalFormatting sqref="E24:E25">
    <x:cfRule type="timePeriod" dxfId="1" priority="207" timePeriod="lastMonth">
      <x:formula>AND(MONTH(E24)=MONTH(EDATE(TODAY(),0-1)),YEAR(E24)=YEAR(EDATE(TODAY(),0-1)))</x:formula>
    </x:cfRule>
    <x:cfRule type="expression" dxfId="0" priority="208">
      <x:formula>$B24="土"</x:formula>
    </x:cfRule>
    <x:cfRule type="expression" dxfId="0" priority="209">
      <x:formula>$B24="日"</x:formula>
    </x:cfRule>
  </x:conditionalFormatting>
  <x:conditionalFormatting sqref="E28:E31">
    <x:cfRule type="expression" dxfId="0" priority="173">
      <x:formula>$B28="土"</x:formula>
    </x:cfRule>
    <x:cfRule type="expression" dxfId="0" priority="174">
      <x:formula>$B28="日"</x:formula>
    </x:cfRule>
    <x:cfRule type="timePeriod" dxfId="1" priority="172" timePeriod="lastMonth">
      <x:formula>AND(MONTH(E28)=MONTH(EDATE(TODAY(),0-1)),YEAR(E28)=YEAR(EDATE(TODAY(),0-1)))</x:formula>
    </x:cfRule>
  </x:conditionalFormatting>
  <x:conditionalFormatting sqref="E31:E32">
    <x:cfRule type="timePeriod" dxfId="1" priority="201" timePeriod="lastMonth">
      <x:formula>AND(MONTH(E31)=MONTH(EDATE(TODAY(),0-1)),YEAR(E31)=YEAR(EDATE(TODAY(),0-1)))</x:formula>
    </x:cfRule>
    <x:cfRule type="expression" dxfId="0" priority="202">
      <x:formula>$B31="土"</x:formula>
    </x:cfRule>
    <x:cfRule type="expression" dxfId="0" priority="203">
      <x:formula>$B31="日"</x:formula>
    </x:cfRule>
  </x:conditionalFormatting>
  <x:conditionalFormatting sqref="E35:E38">
    <x:cfRule type="expression" dxfId="0" priority="170">
      <x:formula>$B35="土"</x:formula>
    </x:cfRule>
    <x:cfRule type="expression" dxfId="0" priority="171">
      <x:formula>$B35="日"</x:formula>
    </x:cfRule>
    <x:cfRule type="timePeriod" dxfId="1" priority="169" timePeriod="lastMonth">
      <x:formula>AND(MONTH(E35)=MONTH(EDATE(TODAY(),0-1)),YEAR(E35)=YEAR(EDATE(TODAY(),0-1)))</x:formula>
    </x:cfRule>
  </x:conditionalFormatting>
  <x:conditionalFormatting sqref="F22:F23">
    <x:cfRule type="timePeriod" dxfId="1" priority="340" timePeriod="lastMonth">
      <x:formula>AND(MONTH(F22)=MONTH(EDATE(TODAY(),0-1)),YEAR(F22)=YEAR(EDATE(TODAY(),0-1)))</x:formula>
    </x:cfRule>
    <x:cfRule type="expression" dxfId="0" priority="341">
      <x:formula>$B22="土"</x:formula>
    </x:cfRule>
    <x:cfRule type="expression" dxfId="0" priority="342">
      <x:formula>$B22="日"</x:formula>
    </x:cfRule>
  </x:conditionalFormatting>
  <x:conditionalFormatting sqref="F29:F30">
    <x:cfRule type="timePeriod" dxfId="1" priority="333" timePeriod="lastMonth">
      <x:formula>AND(MONTH(F29)=MONTH(EDATE(TODAY(),0-1)),YEAR(F29)=YEAR(EDATE(TODAY(),0-1)))</x:formula>
    </x:cfRule>
  </x:conditionalFormatting>
  <x:conditionalFormatting sqref="F36:F37">
    <x:cfRule type="timePeriod" dxfId="1" priority="326" timePeriod="lastMonth">
      <x:formula>AND(MONTH(F36)=MONTH(EDATE(TODAY(),0-1)),YEAR(F36)=YEAR(EDATE(TODAY(),0-1)))</x:formula>
    </x:cfRule>
  </x:conditionalFormatting>
  <x:conditionalFormatting sqref="G21:G22">
    <x:cfRule type="timePeriod" dxfId="1" priority="245" timePeriod="lastMonth">
      <x:formula>AND(MONTH(G21)=MONTH(EDATE(TODAY(),0-1)),YEAR(G21)=YEAR(EDATE(TODAY(),0-1)))</x:formula>
    </x:cfRule>
    <x:cfRule type="expression" dxfId="0" priority="246">
      <x:formula>$B21="土"</x:formula>
    </x:cfRule>
    <x:cfRule type="expression" dxfId="0" priority="247">
      <x:formula>$B21="日"</x:formula>
    </x:cfRule>
  </x:conditionalFormatting>
  <x:conditionalFormatting sqref="G29:G30">
    <x:cfRule type="timePeriod" dxfId="1" priority="237" timePeriod="lastMonth">
      <x:formula>AND(MONTH(G29)=MONTH(EDATE(TODAY(),0-1)),YEAR(G29)=YEAR(EDATE(TODAY(),0-1)))</x:formula>
    </x:cfRule>
    <x:cfRule type="expression" dxfId="0" priority="238">
      <x:formula>$B29="土"</x:formula>
    </x:cfRule>
    <x:cfRule type="expression" dxfId="0" priority="239">
      <x:formula>$B29="日"</x:formula>
    </x:cfRule>
  </x:conditionalFormatting>
  <x:conditionalFormatting sqref="K12:K13">
    <x:cfRule type="timePeriod" dxfId="1" priority="317" timePeriod="lastMonth">
      <x:formula>AND(MONTH(K12)=MONTH(EDATE(TODAY(),0-1)),YEAR(K12)=YEAR(EDATE(TODAY(),0-1)))</x:formula>
    </x:cfRule>
    <x:cfRule type="expression" dxfId="0" priority="318">
      <x:formula>WEEKDAY(K$10)=L$4</x:formula>
    </x:cfRule>
  </x:conditionalFormatting>
  <x:conditionalFormatting sqref="A39:B39 A10:B18 G39:J39 A21:B24">
    <x:cfRule type="expression" dxfId="0" priority="364">
      <x:formula>$B10="土"</x:formula>
    </x:cfRule>
    <x:cfRule type="expression" dxfId="0" priority="365">
      <x:formula>$B10="日"</x:formula>
    </x:cfRule>
  </x:conditionalFormatting>
  <x:conditionalFormatting sqref="A40:B40 J10:J11 J14:J18 J21:J25 J28:J32 J35:J39">
    <x:cfRule type="expression" dxfId="0" priority="28">
      <x:formula>$B10="土"</x:formula>
    </x:cfRule>
    <x:cfRule type="expression" dxfId="0" priority="29">
      <x:formula>$B10="日"</x:formula>
    </x:cfRule>
  </x:conditionalFormatting>
  <x:conditionalFormatting sqref="B10:B18 B21:B25 B28:B32 B35:B39">
    <x:cfRule type="timePeriod" dxfId="1" priority="366" timePeriod="lastMonth">
      <x:formula>AND(MONTH(B10)=MONTH(EDATE(TODAY(),0-1)),YEAR(B10)=YEAR(EDATE(TODAY(),0-1)))</x:formula>
    </x:cfRule>
  </x:conditionalFormatting>
  <x:conditionalFormatting sqref="C10:E11 E14:E18 E21:E25 E28:E32 E35:E39">
    <x:cfRule type="timePeriod" dxfId="1" priority="213" timePeriod="lastMonth">
      <x:formula>AND(MONTH(C10)=MONTH(EDATE(TODAY(),0-1)),YEAR(C10)=YEAR(EDATE(TODAY(),0-1)))</x:formula>
    </x:cfRule>
    <x:cfRule type="expression" dxfId="0" priority="214">
      <x:formula>$B10="土"</x:formula>
    </x:cfRule>
    <x:cfRule type="expression" dxfId="0" priority="215">
      <x:formula>$B10="日"</x:formula>
    </x:cfRule>
  </x:conditionalFormatting>
  <x:conditionalFormatting sqref="F10:F12 F21:F25 F28:F32 F35:F39 C12:E12 G12:J12 F14:F18 C13:J13">
    <x:cfRule type="timePeriod" dxfId="1" priority="163" timePeriod="lastMonth">
      <x:formula>AND(MONTH(C10)=MONTH(EDATE(TODAY(),0-1)),YEAR(C10)=YEAR(EDATE(TODAY(),0-1)))</x:formula>
    </x:cfRule>
    <x:cfRule type="expression" dxfId="0" priority="164">
      <x:formula>$B10="土"</x:formula>
    </x:cfRule>
    <x:cfRule type="expression" dxfId="0" priority="165">
      <x:formula>$B10="日"</x:formula>
    </x:cfRule>
    <x:cfRule type="timePeriod" dxfId="1" priority="151" timePeriod="lastMonth">
      <x:formula>AND(MONTH(C10)=MONTH(EDATE(TODAY(),0-1)),YEAR(C10)=YEAR(EDATE(TODAY(),0-1)))</x:formula>
    </x:cfRule>
    <x:cfRule type="expression" dxfId="0" priority="152">
      <x:formula>$B10="土"</x:formula>
    </x:cfRule>
    <x:cfRule type="expression" dxfId="0" priority="153">
      <x:formula>$B10="日"</x:formula>
    </x:cfRule>
  </x:conditionalFormatting>
  <x:conditionalFormatting sqref="E10:E11 E14:E18 E21:E25 E28:E32 E35:E39">
    <x:cfRule type="timePeriod" dxfId="1" priority="181" timePeriod="lastMonth">
      <x:formula>AND(MONTH(E10)=MONTH(EDATE(TODAY(),0-1)),YEAR(E10)=YEAR(EDATE(TODAY(),0-1)))</x:formula>
    </x:cfRule>
    <x:cfRule type="expression" dxfId="0" priority="182">
      <x:formula>$B10="土"</x:formula>
    </x:cfRule>
    <x:cfRule type="expression" dxfId="0" priority="183">
      <x:formula>$B10="日"</x:formula>
    </x:cfRule>
  </x:conditionalFormatting>
  <x:conditionalFormatting sqref="J10:J11 J14:J18 J21:J25 J28:J32 J35:J39">
    <x:cfRule type="timePeriod" dxfId="1" priority="27" timePeriod="lastMonth">
      <x:formula>AND(MONTH(J10)=MONTH(EDATE(TODAY(),0-1)),YEAR(J10)=YEAR(EDATE(TODAY(),0-1)))</x:formula>
    </x:cfRule>
  </x:conditionalFormatting>
  <x:conditionalFormatting sqref="E11:E11 E39:E39 E18:E18 E25:E25 E32:E32">
    <x:cfRule type="timePeriod" dxfId="1" priority="184" timePeriod="lastMonth">
      <x:formula>AND(MONTH(E11)=MONTH(EDATE(TODAY(),0-1)),YEAR(E11)=YEAR(EDATE(TODAY(),0-1)))</x:formula>
    </x:cfRule>
  </x:conditionalFormatting>
  <x:conditionalFormatting sqref="G11:K11 G18:I18 G25:K25 G32:K32 G39:K39 K18:K18">
    <x:cfRule type="timePeriod" dxfId="1" priority="354" timePeriod="lastMonth">
      <x:formula>AND(MONTH(G11)=MONTH(EDATE(TODAY(),0-1)),YEAR(G11)=YEAR(EDATE(TODAY(),0-1)))</x:formula>
    </x:cfRule>
  </x:conditionalFormatting>
  <x:conditionalFormatting sqref="K11:K11 K18:K18 K25:K25 K32:K32 K39:K39">
    <x:cfRule type="expression" dxfId="0" priority="355">
      <x:formula>WEEKDAY(K$10)=L$4</x:formula>
    </x:cfRule>
  </x:conditionalFormatting>
  <x:conditionalFormatting sqref="C12:J13">
    <x:cfRule type="timePeriod" dxfId="1" priority="157" timePeriod="lastMonth">
      <x:formula>AND(MONTH(C12)=MONTH(EDATE(TODAY(),0-1)),YEAR(C12)=YEAR(EDATE(TODAY(),0-1)))</x:formula>
    </x:cfRule>
    <x:cfRule type="expression" dxfId="0" priority="158">
      <x:formula>$B12="土"</x:formula>
    </x:cfRule>
    <x:cfRule type="expression" dxfId="0" priority="159">
      <x:formula>$B12="日"</x:formula>
    </x:cfRule>
  </x:conditionalFormatting>
  <x:conditionalFormatting sqref="C14:D18 C21:D25 C28:D32 C35:D39">
    <x:cfRule type="timePeriod" dxfId="1" priority="31" timePeriod="lastMonth">
      <x:formula>AND(MONTH(C14)=MONTH(EDATE(TODAY(),0-1)),YEAR(C14)=YEAR(EDATE(TODAY(),0-1)))</x:formula>
    </x:cfRule>
    <x:cfRule type="expression" dxfId="0" priority="32">
      <x:formula>$B14="土"</x:formula>
    </x:cfRule>
    <x:cfRule type="expression" dxfId="0" priority="33">
      <x:formula>$B14="日"</x:formula>
    </x:cfRule>
  </x:conditionalFormatting>
  <x:conditionalFormatting sqref="H17:J17 H15:I16">
    <x:cfRule type="expression" dxfId="0" priority="343">
      <x:formula>$B15="土"</x:formula>
    </x:cfRule>
    <x:cfRule type="expression" dxfId="0" priority="344">
      <x:formula>$B15="日"</x:formula>
    </x:cfRule>
  </x:conditionalFormatting>
  <x:conditionalFormatting sqref="H17:K17 H15:I16">
    <x:cfRule type="timePeriod" dxfId="1" priority="345" timePeriod="lastMonth">
      <x:formula>AND(MONTH(H15)=MONTH(EDATE(TODAY(),0-1)),YEAR(H15)=YEAR(EDATE(TODAY(),0-1)))</x:formula>
    </x:cfRule>
  </x:conditionalFormatting>
  <x:conditionalFormatting sqref="J15:K16">
    <x:cfRule type="expression" dxfId="0" priority="225">
      <x:formula>$B15="土"</x:formula>
    </x:cfRule>
    <x:cfRule type="expression" dxfId="0" priority="226">
      <x:formula>$B15="日"</x:formula>
    </x:cfRule>
    <x:cfRule type="timePeriod" dxfId="1" priority="227" timePeriod="lastMonth">
      <x:formula>AND(MONTH(J15)=MONTH(EDATE(TODAY(),0-1)),YEAR(J15)=YEAR(EDATE(TODAY(),0-1)))</x:formula>
    </x:cfRule>
  </x:conditionalFormatting>
  <x:conditionalFormatting sqref="F18:F18 F21:F21">
    <x:cfRule type="timePeriod" dxfId="1" priority="145" timePeriod="lastMonth">
      <x:formula>AND(MONTH(F18)=MONTH(EDATE(TODAY(),0-1)),YEAR(F18)=YEAR(EDATE(TODAY(),0-1)))</x:formula>
    </x:cfRule>
    <x:cfRule type="expression" dxfId="0" priority="146">
      <x:formula>$B18="土"</x:formula>
    </x:cfRule>
    <x:cfRule type="expression" dxfId="0" priority="147">
      <x:formula>$B18="日"</x:formula>
    </x:cfRule>
  </x:conditionalFormatting>
  <x:conditionalFormatting sqref="A19:B20">
    <x:cfRule type="expression" dxfId="0" priority="130">
      <x:formula>$B19="土"</x:formula>
    </x:cfRule>
    <x:cfRule type="expression" dxfId="0" priority="131">
      <x:formula>$B19="日"</x:formula>
    </x:cfRule>
  </x:conditionalFormatting>
  <x:conditionalFormatting sqref="C19:F20">
    <x:cfRule type="timePeriod" dxfId="1" priority="109" timePeriod="lastMonth">
      <x:formula>AND(MONTH(C19)=MONTH(EDATE(TODAY(),0-1)),YEAR(C19)=YEAR(EDATE(TODAY(),0-1)))</x:formula>
    </x:cfRule>
    <x:cfRule type="expression" dxfId="0" priority="110">
      <x:formula>$B19="土"</x:formula>
    </x:cfRule>
    <x:cfRule type="expression" dxfId="0" priority="111">
      <x:formula>$B19="日"</x:formula>
    </x:cfRule>
    <x:cfRule type="timePeriod" dxfId="1" priority="106" timePeriod="lastMonth">
      <x:formula>AND(MONTH(C19)=MONTH(EDATE(TODAY(),0-1)),YEAR(C19)=YEAR(EDATE(TODAY(),0-1)))</x:formula>
    </x:cfRule>
    <x:cfRule type="expression" dxfId="0" priority="107">
      <x:formula>$B19="土"</x:formula>
    </x:cfRule>
    <x:cfRule type="expression" dxfId="0" priority="108">
      <x:formula>$B19="日"</x:formula>
    </x:cfRule>
    <x:cfRule type="timePeriod" dxfId="1" priority="100" timePeriod="lastMonth">
      <x:formula>AND(MONTH(C19)=MONTH(EDATE(TODAY(),0-1)),YEAR(C19)=YEAR(EDATE(TODAY(),0-1)))</x:formula>
    </x:cfRule>
    <x:cfRule type="expression" dxfId="0" priority="101">
      <x:formula>$B19="土"</x:formula>
    </x:cfRule>
    <x:cfRule type="expression" dxfId="0" priority="102">
      <x:formula>$B19="日"</x:formula>
    </x:cfRule>
  </x:conditionalFormatting>
  <x:conditionalFormatting sqref="G19:J19 I20:J20">
    <x:cfRule type="timePeriod" dxfId="1" priority="124" timePeriod="lastMonth">
      <x:formula>AND(MONTH(G19)=MONTH(EDATE(TODAY(),0-1)),YEAR(G19)=YEAR(EDATE(TODAY(),0-1)))</x:formula>
    </x:cfRule>
    <x:cfRule type="expression" dxfId="0" priority="125">
      <x:formula>$B19="土"</x:formula>
    </x:cfRule>
    <x:cfRule type="expression" dxfId="0" priority="126">
      <x:formula>$B19="日"</x:formula>
    </x:cfRule>
  </x:conditionalFormatting>
  <x:conditionalFormatting sqref="H24:J24 H21:I23">
    <x:cfRule type="expression" dxfId="0" priority="336">
      <x:formula>$B21="土"</x:formula>
    </x:cfRule>
    <x:cfRule type="expression" dxfId="0" priority="337">
      <x:formula>$B21="日"</x:formula>
    </x:cfRule>
  </x:conditionalFormatting>
  <x:conditionalFormatting sqref="H24:K24 H21:I23">
    <x:cfRule type="timePeriod" dxfId="1" priority="338" timePeriod="lastMonth">
      <x:formula>AND(MONTH(H21)=MONTH(EDATE(TODAY(),0-1)),YEAR(H21)=YEAR(EDATE(TODAY(),0-1)))</x:formula>
    </x:cfRule>
  </x:conditionalFormatting>
  <x:conditionalFormatting sqref="J22:K23">
    <x:cfRule type="expression" dxfId="0" priority="222">
      <x:formula>$B22="土"</x:formula>
    </x:cfRule>
    <x:cfRule type="expression" dxfId="0" priority="223">
      <x:formula>$B22="日"</x:formula>
    </x:cfRule>
    <x:cfRule type="timePeriod" dxfId="1" priority="224" timePeriod="lastMonth">
      <x:formula>AND(MONTH(J22)=MONTH(EDATE(TODAY(),0-1)),YEAR(J22)=YEAR(EDATE(TODAY(),0-1)))</x:formula>
    </x:cfRule>
  </x:conditionalFormatting>
  <x:conditionalFormatting sqref="F24:F25 F28:F28">
    <x:cfRule type="timePeriod" dxfId="1" priority="142" timePeriod="lastMonth">
      <x:formula>AND(MONTH(F24)=MONTH(EDATE(TODAY(),0-1)),YEAR(F24)=YEAR(EDATE(TODAY(),0-1)))</x:formula>
    </x:cfRule>
    <x:cfRule type="expression" dxfId="0" priority="143">
      <x:formula>$B24="土"</x:formula>
    </x:cfRule>
    <x:cfRule type="expression" dxfId="0" priority="144">
      <x:formula>$B24="日"</x:formula>
    </x:cfRule>
  </x:conditionalFormatting>
  <x:conditionalFormatting sqref="A25:B25 G25:J25">
    <x:cfRule type="expression" dxfId="0" priority="358">
      <x:formula>$B25="土"</x:formula>
    </x:cfRule>
    <x:cfRule type="expression" dxfId="0" priority="359">
      <x:formula>$B25="日"</x:formula>
    </x:cfRule>
  </x:conditionalFormatting>
  <x:conditionalFormatting sqref="A26:B27">
    <x:cfRule type="expression" dxfId="0" priority="97">
      <x:formula>$B26="土"</x:formula>
    </x:cfRule>
    <x:cfRule type="expression" dxfId="0" priority="98">
      <x:formula>$B26="日"</x:formula>
    </x:cfRule>
  </x:conditionalFormatting>
  <x:conditionalFormatting sqref="C26:J27">
    <x:cfRule type="timePeriod" dxfId="1" priority="76" timePeriod="lastMonth">
      <x:formula>AND(MONTH(C26)=MONTH(EDATE(TODAY(),0-1)),YEAR(C26)=YEAR(EDATE(TODAY(),0-1)))</x:formula>
    </x:cfRule>
    <x:cfRule type="expression" dxfId="0" priority="77">
      <x:formula>$B26="土"</x:formula>
    </x:cfRule>
    <x:cfRule type="expression" dxfId="0" priority="78">
      <x:formula>$B26="日"</x:formula>
    </x:cfRule>
    <x:cfRule type="timePeriod" dxfId="1" priority="67" timePeriod="lastMonth">
      <x:formula>AND(MONTH(C26)=MONTH(EDATE(TODAY(),0-1)),YEAR(C26)=YEAR(EDATE(TODAY(),0-1)))</x:formula>
    </x:cfRule>
    <x:cfRule type="expression" dxfId="0" priority="68">
      <x:formula>$B26="土"</x:formula>
    </x:cfRule>
    <x:cfRule type="expression" dxfId="0" priority="69">
      <x:formula>$B26="日"</x:formula>
    </x:cfRule>
  </x:conditionalFormatting>
  <x:conditionalFormatting sqref="A28:B31 F29:F30">
    <x:cfRule type="expression" dxfId="0" priority="334">
      <x:formula>$B28="土"</x:formula>
    </x:cfRule>
    <x:cfRule type="expression" dxfId="0" priority="335">
      <x:formula>$B28="日"</x:formula>
    </x:cfRule>
  </x:conditionalFormatting>
  <x:conditionalFormatting sqref="H31:J31 H28:I30">
    <x:cfRule type="expression" dxfId="0" priority="329">
      <x:formula>$B28="土"</x:formula>
    </x:cfRule>
    <x:cfRule type="expression" dxfId="0" priority="330">
      <x:formula>$B28="日"</x:formula>
    </x:cfRule>
  </x:conditionalFormatting>
  <x:conditionalFormatting sqref="H31:K31 H28:I30 K28:K28">
    <x:cfRule type="timePeriod" dxfId="1" priority="331" timePeriod="lastMonth">
      <x:formula>AND(MONTH(H28)=MONTH(EDATE(TODAY(),0-1)),YEAR(H28)=YEAR(EDATE(TODAY(),0-1)))</x:formula>
    </x:cfRule>
  </x:conditionalFormatting>
  <x:conditionalFormatting sqref="K28:K28 K31:K31">
    <x:cfRule type="expression" dxfId="0" priority="332">
      <x:formula>WEEKDAY(K$10)=L$4</x:formula>
    </x:cfRule>
  </x:conditionalFormatting>
  <x:conditionalFormatting sqref="J29:K30">
    <x:cfRule type="expression" dxfId="0" priority="219">
      <x:formula>$B29="土"</x:formula>
    </x:cfRule>
    <x:cfRule type="expression" dxfId="0" priority="220">
      <x:formula>$B29="日"</x:formula>
    </x:cfRule>
    <x:cfRule type="timePeriod" dxfId="1" priority="221" timePeriod="lastMonth">
      <x:formula>AND(MONTH(J29)=MONTH(EDATE(TODAY(),0-1)),YEAR(J29)=YEAR(EDATE(TODAY(),0-1)))</x:formula>
    </x:cfRule>
  </x:conditionalFormatting>
  <x:conditionalFormatting sqref="F31:F32 F35:F35">
    <x:cfRule type="timePeriod" dxfId="1" priority="139" timePeriod="lastMonth">
      <x:formula>AND(MONTH(F31)=MONTH(EDATE(TODAY(),0-1)),YEAR(F31)=YEAR(EDATE(TODAY(),0-1)))</x:formula>
    </x:cfRule>
    <x:cfRule type="expression" dxfId="0" priority="140">
      <x:formula>$B31="土"</x:formula>
    </x:cfRule>
    <x:cfRule type="expression" dxfId="0" priority="141">
      <x:formula>$B31="日"</x:formula>
    </x:cfRule>
  </x:conditionalFormatting>
  <x:conditionalFormatting sqref="A32:B32 G32:J32">
    <x:cfRule type="expression" dxfId="0" priority="356">
      <x:formula>$B32="土"</x:formula>
    </x:cfRule>
    <x:cfRule type="expression" dxfId="0" priority="357">
      <x:formula>$B32="日"</x:formula>
    </x:cfRule>
  </x:conditionalFormatting>
  <x:conditionalFormatting sqref="A33:B34">
    <x:cfRule type="expression" dxfId="0" priority="64">
      <x:formula>$B33="土"</x:formula>
    </x:cfRule>
    <x:cfRule type="expression" dxfId="0" priority="65">
      <x:formula>$B33="日"</x:formula>
    </x:cfRule>
  </x:conditionalFormatting>
  <x:conditionalFormatting sqref="C33:J34">
    <x:cfRule type="timePeriod" dxfId="1" priority="43" timePeriod="lastMonth">
      <x:formula>AND(MONTH(C33)=MONTH(EDATE(TODAY(),0-1)),YEAR(C33)=YEAR(EDATE(TODAY(),0-1)))</x:formula>
    </x:cfRule>
    <x:cfRule type="expression" dxfId="0" priority="44">
      <x:formula>$B33="土"</x:formula>
    </x:cfRule>
    <x:cfRule type="expression" dxfId="0" priority="45">
      <x:formula>$B33="日"</x:formula>
    </x:cfRule>
    <x:cfRule type="timePeriod" dxfId="1" priority="34" timePeriod="lastMonth">
      <x:formula>AND(MONTH(C33)=MONTH(EDATE(TODAY(),0-1)),YEAR(C33)=YEAR(EDATE(TODAY(),0-1)))</x:formula>
    </x:cfRule>
    <x:cfRule type="expression" dxfId="0" priority="35">
      <x:formula>$B33="土"</x:formula>
    </x:cfRule>
    <x:cfRule type="expression" dxfId="0" priority="36">
      <x:formula>$B33="日"</x:formula>
    </x:cfRule>
  </x:conditionalFormatting>
  <x:conditionalFormatting sqref="A35:B38 F36:F37">
    <x:cfRule type="expression" dxfId="0" priority="327">
      <x:formula>$B35="土"</x:formula>
    </x:cfRule>
    <x:cfRule type="expression" dxfId="0" priority="328">
      <x:formula>$B35="日"</x:formula>
    </x:cfRule>
  </x:conditionalFormatting>
  <x:conditionalFormatting sqref="H38:J38 H35:I37">
    <x:cfRule type="expression" dxfId="0" priority="322">
      <x:formula>$B35="土"</x:formula>
    </x:cfRule>
    <x:cfRule type="expression" dxfId="0" priority="323">
      <x:formula>$B35="日"</x:formula>
    </x:cfRule>
  </x:conditionalFormatting>
  <x:conditionalFormatting sqref="H38:K38 H35:I37 K35:K35">
    <x:cfRule type="timePeriod" dxfId="1" priority="324" timePeriod="lastMonth">
      <x:formula>AND(MONTH(H35)=MONTH(EDATE(TODAY(),0-1)),YEAR(H35)=YEAR(EDATE(TODAY(),0-1)))</x:formula>
    </x:cfRule>
  </x:conditionalFormatting>
  <x:conditionalFormatting sqref="K35:K35 K38:K38">
    <x:cfRule type="expression" dxfId="0" priority="325">
      <x:formula>WEEKDAY(K$10)=L$4</x:formula>
    </x:cfRule>
  </x:conditionalFormatting>
  <x:conditionalFormatting sqref="J36:K37">
    <x:cfRule type="expression" dxfId="0" priority="216">
      <x:formula>$B36="土"</x:formula>
    </x:cfRule>
    <x:cfRule type="expression" dxfId="0" priority="217">
      <x:formula>$B36="日"</x:formula>
    </x:cfRule>
    <x:cfRule type="timePeriod" dxfId="1" priority="218" timePeriod="lastMonth">
      <x:formula>AND(MONTH(J36)=MONTH(EDATE(TODAY(),0-1)),YEAR(J36)=YEAR(EDATE(TODAY(),0-1)))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7" width="14.13888931274414" customWidth="1"/>
    <x:col min="8" max="8" width="15.712963104248047" customWidth="1"/>
    <x:col min="9" max="9" width="50.28703689575195" customWidth="1"/>
    <x:col min="10" max="10" width="17.425926208496094" customWidth="1"/>
    <x:col min="11" max="11" width="23.13888931274414" customWidth="1"/>
  </x:cols>
  <x:sheetData>
    <x:row r="6">
      <x:c r="A6" s="80" t="s">
        <x:v>0</x:v>
      </x:c>
      <x:c r="B6">
        <x:v>2</x:v>
      </x:c>
    </x:row>
    <x:row r="7">
      <x:c r="A7">
        <x:v>2026</x:v>
      </x:c>
      <x:c r="B7">
        <x:v>2</x:v>
      </x:c>
    </x:row>
    <x:row r="8">
      <x:c r="C8" s="81" t="s">
        <x:v>1</x:v>
      </x:c>
      <x:c r="D8" s="81" t="s">
        <x:v>2</x:v>
      </x:c>
      <x:c r="E8" s="81" t="s">
        <x:v>3</x:v>
      </x:c>
      <x:c r="F8" s="93" t="s">
        <x:v>4</x:v>
      </x:c>
      <x:c r="G8" s="81" t="s">
        <x:v>5</x:v>
      </x:c>
      <x:c r="H8" s="81" t="s">
        <x:v>6</x:v>
      </x:c>
      <x:c r="I8" s="81" t="s">
        <x:v>7</x:v>
      </x:c>
      <x:c r="J8" s="81" t="s">
        <x:v>8</x:v>
      </x:c>
      <x:c r="K8" s="81" t="s">
        <x:v>9</x:v>
      </x:c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94" t="n">
        <x:f>DATE(A7,B7,1)</x:f>
        <x:v>46054</x:v>
      </x:c>
      <x:c r="B10" s="95" t="str">
        <x:f>TEXT(A10,"ddd")</x:f>
        <x:v>Sun</x:v>
      </x:c>
      <x:c r="C10" s="96"/>
      <x:c r="D10" s="96"/>
      <x:c r="E10" s="96"/>
      <x:c r="F10" s="101"/>
      <x:c r="G10" s="95"/>
      <x:c r="H10" s="95"/>
      <x:c r="I10" s="95"/>
      <x:c r="J10" s="96"/>
      <x:c r="K10" s="95"/>
    </x:row>
    <x:row r="11">
      <x:c r="A11" s="33" t="n">
        <x:f>A10+1</x:f>
        <x:v>46055</x:v>
      </x:c>
      <x:c r="B11" s="34" t="str">
        <x:f t="shared" ref="B11:B37" si="0">TEXT(A11,"ddd")</x:f>
        <x:v>Mon</x:v>
      </x:c>
      <x:c r="C11" s="35">
        <x:v>0.333333333333333</x:v>
      </x:c>
      <x:c r="D11" s="35">
        <x:v>0.708333333333333</x:v>
      </x:c>
      <x:c r="E11" s="35">
        <x:v>0.0416666666666667</x:v>
      </x:c>
      <x:c r="F11" s="36" t="n">
        <x:f>D11-C11-E11</x:f>
        <x:v>0.33333333333333337</x:v>
      </x:c>
      <x:c r="G11" s="35"/>
      <x:c r="H11" s="34"/>
      <x:c r="I11" s="34"/>
      <x:c r="J11" s="35">
        <x:v>0.333333333333333</x:v>
      </x:c>
      <x:c r="K11" s="34" t="s">
        <x:v>19</x:v>
      </x:c>
    </x:row>
    <x:row r="12">
      <x:c r="A12" s="33" t="n">
        <x:f t="shared" ref="A12:A37" si="1">A11+1</x:f>
        <x:v>46056</x:v>
      </x:c>
      <x:c r="B12" s="34" t="str">
        <x:f t="shared" si="0"/>
        <x:v>Tue</x:v>
      </x:c>
      <x:c r="C12" s="35">
        <x:v>0.333333333333333</x:v>
      </x:c>
      <x:c r="D12" s="35">
        <x:v>0.708333333333333</x:v>
      </x:c>
      <x:c r="E12" s="35">
        <x:v>0.0416666666666667</x:v>
      </x:c>
      <x:c r="F12" s="36" t="n">
        <x:f t="shared" ref="F12:F15" si="2">D12-C12-E12</x:f>
        <x:v>0.33333333333333337</x:v>
      </x:c>
      <x:c r="G12" s="35"/>
      <x:c r="H12" s="34"/>
      <x:c r="I12" s="34"/>
      <x:c r="J12" s="35">
        <x:v>0.333333333333333</x:v>
      </x:c>
      <x:c r="K12" s="34" t="s">
        <x:v>19</x:v>
      </x:c>
    </x:row>
    <x:row r="13">
      <x:c r="A13" s="33">
        <x:f t="shared" si="1"/>
        <x:v>46057</x:v>
      </x:c>
      <x:c r="B13" s="34" t="str">
        <x:f t="shared" si="0"/>
        <x:v>Wed</x:v>
      </x:c>
      <x:c r="C13" s="35">
        <x:v>0.333333333333333</x:v>
      </x:c>
      <x:c r="D13" s="35">
        <x:v>0.708333333333333</x:v>
      </x:c>
      <x:c r="E13" s="35">
        <x:v>0.0416666666666667</x:v>
      </x:c>
      <x:c r="F13" s="36">
        <x:f t="shared" si="2"/>
        <x:v>0.333333333333333</x:v>
      </x:c>
      <x:c r="G13" s="34"/>
      <x:c r="H13" s="34"/>
      <x:c r="I13" s="100"/>
      <x:c r="J13" s="35">
        <x:v>0.333333333333333</x:v>
      </x:c>
      <x:c r="K13" s="34" t="s">
        <x:v>19</x:v>
      </x:c>
    </x:row>
    <x:row r="14">
      <x:c r="A14" s="33">
        <x:f t="shared" si="1"/>
        <x:v>46058</x:v>
      </x:c>
      <x:c r="B14" s="34" t="str">
        <x:f t="shared" si="0"/>
        <x:v>Thu</x:v>
      </x:c>
      <x:c r="C14" s="35">
        <x:v>0.333333333333333</x:v>
      </x:c>
      <x:c r="D14" s="35">
        <x:v>0.708333333333333</x:v>
      </x:c>
      <x:c r="E14" s="35">
        <x:v>0.0416666666666667</x:v>
      </x:c>
      <x:c r="F14" s="36">
        <x:f t="shared" si="2"/>
        <x:v>0.333333333333333</x:v>
      </x:c>
      <x:c r="G14" s="34"/>
      <x:c r="H14" s="34"/>
      <x:c r="I14" s="34"/>
      <x:c r="J14" s="35">
        <x:v>0.333333333333333</x:v>
      </x:c>
      <x:c r="K14" s="34" t="s">
        <x:v>19</x:v>
      </x:c>
    </x:row>
    <x:row r="15" s="31" customFormat="1">
      <x:c r="A15" s="33">
        <x:f t="shared" si="1"/>
        <x:v>46059</x:v>
      </x:c>
      <x:c r="B15" s="34" t="str">
        <x:f t="shared" si="0"/>
        <x:v>Fri</x:v>
      </x:c>
      <x:c r="C15" s="35">
        <x:v>0.333333333333333</x:v>
      </x:c>
      <x:c r="D15" s="35">
        <x:v>0.708333333333333</x:v>
      </x:c>
      <x:c r="E15" s="35">
        <x:v>0.0416666666666667</x:v>
      </x:c>
      <x:c r="F15" s="36">
        <x:f t="shared" si="2"/>
        <x:v>0.333333333333333</x:v>
      </x:c>
      <x:c r="G15" s="35"/>
      <x:c r="H15" s="34"/>
      <x:c r="I15" s="34"/>
      <x:c r="J15" s="35">
        <x:v>0.333333333333333</x:v>
      </x:c>
      <x:c r="K15" s="34" t="s">
        <x:v>19</x:v>
      </x:c>
    </x:row>
    <x:row r="16" s="31" customFormat="1">
      <x:c r="A16" s="94">
        <x:f t="shared" si="1"/>
        <x:v>46060</x:v>
      </x:c>
      <x:c r="B16" s="95" t="str">
        <x:f t="shared" si="0"/>
        <x:v>Sat</x:v>
      </x:c>
      <x:c r="C16" s="96"/>
      <x:c r="D16" s="96"/>
      <x:c r="E16" s="96"/>
      <x:c r="F16" s="101"/>
      <x:c r="G16" s="96"/>
      <x:c r="H16" s="95"/>
      <x:c r="I16" s="95"/>
      <x:c r="J16" s="95"/>
      <x:c r="K16" s="95"/>
    </x:row>
    <x:row r="17" s="31" customFormat="1">
      <x:c r="A17" s="94">
        <x:f t="shared" si="1"/>
        <x:v>46061</x:v>
      </x:c>
      <x:c r="B17" s="95" t="str">
        <x:f t="shared" si="0"/>
        <x:v>Sun</x:v>
      </x:c>
      <x:c r="C17" s="96"/>
      <x:c r="D17" s="96"/>
      <x:c r="E17" s="96"/>
      <x:c r="F17" s="101"/>
      <x:c r="G17" s="95"/>
      <x:c r="H17" s="95"/>
      <x:c r="I17" s="95"/>
      <x:c r="J17" s="96"/>
      <x:c r="K17" s="95"/>
    </x:row>
    <x:row r="18" s="31" customFormat="1">
      <x:c r="A18" s="33">
        <x:f t="shared" si="1"/>
        <x:v>46062</x:v>
      </x:c>
      <x:c r="B18" s="34" t="str">
        <x:f t="shared" si="0"/>
        <x:v>Mon</x:v>
      </x:c>
      <x:c r="C18" s="35">
        <x:v>0.333333333333333</x:v>
      </x:c>
      <x:c r="D18" s="35">
        <x:v>0.708333333333333</x:v>
      </x:c>
      <x:c r="E18" s="35">
        <x:v>0.0416666666666667</x:v>
      </x:c>
      <x:c r="F18" s="36" t="n">
        <x:f t="shared" ref="F18:F36" si="3">D18-C18-E18</x:f>
        <x:v>0.33333333333333337</x:v>
      </x:c>
      <x:c r="G18" s="35"/>
      <x:c r="H18" s="34"/>
      <x:c r="I18" s="34"/>
      <x:c r="J18" s="35">
        <x:v>0.333333333333333</x:v>
      </x:c>
      <x:c r="K18" s="34" t="s">
        <x:v>19</x:v>
      </x:c>
    </x:row>
    <x:row r="19" s="31" customFormat="1">
      <x:c r="A19" s="33">
        <x:f t="shared" si="1"/>
        <x:v>46063</x:v>
      </x:c>
      <x:c r="B19" s="34" t="str">
        <x:f t="shared" si="0"/>
        <x:v>Tue</x:v>
      </x:c>
      <x:c r="C19" s="35">
        <x:v>0.333333333333333</x:v>
      </x:c>
      <x:c r="D19" s="35">
        <x:v>0.708333333333333</x:v>
      </x:c>
      <x:c r="E19" s="35">
        <x:v>0.0416666666666667</x:v>
      </x:c>
      <x:c r="F19" s="36">
        <x:f t="shared" si="3"/>
        <x:v>0.333333333333333</x:v>
      </x:c>
      <x:c r="G19" s="35"/>
      <x:c r="H19" s="34"/>
      <x:c r="I19" s="34"/>
      <x:c r="J19" s="35">
        <x:v>0.333333333333333</x:v>
      </x:c>
      <x:c r="K19" s="34" t="s">
        <x:v>19</x:v>
      </x:c>
    </x:row>
    <x:row r="20" s="31" customFormat="1">
      <x:c r="A20" s="33">
        <x:f t="shared" si="1"/>
        <x:v>46064</x:v>
      </x:c>
      <x:c r="B20" s="34" t="str">
        <x:f t="shared" si="0"/>
        <x:v>Wed</x:v>
      </x:c>
      <x:c r="C20" s="35">
        <x:v>0.333333333333333</x:v>
      </x:c>
      <x:c r="D20" s="35">
        <x:v>0.708333333333333</x:v>
      </x:c>
      <x:c r="E20" s="35">
        <x:v>0.0416666666666667</x:v>
      </x:c>
      <x:c r="F20" s="36">
        <x:f t="shared" si="3"/>
        <x:v>0.333333333333333</x:v>
      </x:c>
      <x:c r="G20" s="34"/>
      <x:c r="H20" s="34"/>
      <x:c r="I20" s="100"/>
      <x:c r="J20" s="35">
        <x:v>0.333333333333333</x:v>
      </x:c>
      <x:c r="K20" s="34" t="s">
        <x:v>19</x:v>
      </x:c>
    </x:row>
    <x:row r="21" s="31" customFormat="1">
      <x:c r="A21" s="33">
        <x:f t="shared" si="1"/>
        <x:v>46065</x:v>
      </x:c>
      <x:c r="B21" s="34" t="str">
        <x:f t="shared" si="0"/>
        <x:v>Thu</x:v>
      </x:c>
      <x:c r="C21" s="35">
        <x:v>0.333333333333333</x:v>
      </x:c>
      <x:c r="D21" s="35">
        <x:v>0.708333333333333</x:v>
      </x:c>
      <x:c r="E21" s="35">
        <x:v>0.0416666666666667</x:v>
      </x:c>
      <x:c r="F21" s="36">
        <x:f t="shared" si="3"/>
        <x:v>0.333333333333333</x:v>
      </x:c>
      <x:c r="G21" s="35"/>
      <x:c r="H21" s="34"/>
      <x:c r="I21" s="34"/>
      <x:c r="J21" s="35">
        <x:v>0.333333333333333</x:v>
      </x:c>
      <x:c r="K21" s="34" t="s">
        <x:v>19</x:v>
      </x:c>
    </x:row>
    <x:row r="22" s="31" customFormat="1">
      <x:c r="A22" s="33">
        <x:f t="shared" si="1"/>
        <x:v>46066</x:v>
      </x:c>
      <x:c r="B22" s="34" t="str">
        <x:f t="shared" si="0"/>
        <x:v>Fri</x:v>
      </x:c>
      <x:c r="C22" s="35">
        <x:v>0.333333333333333</x:v>
      </x:c>
      <x:c r="D22" s="35">
        <x:v>0.708333333333333</x:v>
      </x:c>
      <x:c r="E22" s="35">
        <x:v>0.0416666666666667</x:v>
      </x:c>
      <x:c r="F22" s="36">
        <x:f t="shared" si="3"/>
        <x:v>0.333333333333333</x:v>
      </x:c>
      <x:c r="G22" s="35"/>
      <x:c r="H22" s="34"/>
      <x:c r="I22" s="34"/>
      <x:c r="J22" s="35">
        <x:v>0.333333333333333</x:v>
      </x:c>
      <x:c r="K22" s="34" t="s">
        <x:v>19</x:v>
      </x:c>
    </x:row>
    <x:row r="23" s="31" customFormat="1">
      <x:c r="A23" s="94">
        <x:f t="shared" si="1"/>
        <x:v>46067</x:v>
      </x:c>
      <x:c r="B23" s="95" t="str">
        <x:f t="shared" si="0"/>
        <x:v>Sat</x:v>
      </x:c>
      <x:c r="C23" s="96"/>
      <x:c r="D23" s="96"/>
      <x:c r="E23" s="96"/>
      <x:c r="F23" s="101"/>
      <x:c r="G23" s="96"/>
      <x:c r="H23" s="95"/>
      <x:c r="I23" s="95"/>
      <x:c r="J23" s="95"/>
      <x:c r="K23" s="95"/>
    </x:row>
    <x:row r="24" s="31" customFormat="1">
      <x:c r="A24" s="94">
        <x:f t="shared" si="1"/>
        <x:v>46068</x:v>
      </x:c>
      <x:c r="B24" s="95" t="str">
        <x:f t="shared" si="0"/>
        <x:v>Sun</x:v>
      </x:c>
      <x:c r="C24" s="96"/>
      <x:c r="D24" s="96"/>
      <x:c r="E24" s="96"/>
      <x:c r="F24" s="101"/>
      <x:c r="G24" s="95"/>
      <x:c r="H24" s="95"/>
      <x:c r="I24" s="95"/>
      <x:c r="J24" s="96"/>
      <x:c r="K24" s="95"/>
    </x:row>
    <x:row r="25" s="31" customFormat="1">
      <x:c r="A25" s="94">
        <x:f t="shared" si="1"/>
        <x:v>46069</x:v>
      </x:c>
      <x:c r="B25" s="95" t="str">
        <x:f t="shared" si="0"/>
        <x:v>Mon</x:v>
      </x:c>
      <x:c r="C25" s="96"/>
      <x:c r="D25" s="96"/>
      <x:c r="E25" s="96"/>
      <x:c r="F25" s="96"/>
      <x:c r="G25" s="96"/>
      <x:c r="H25" s="95"/>
      <x:c r="I25" s="95"/>
      <x:c r="J25" s="96"/>
      <x:c r="K25" s="95"/>
    </x:row>
    <x:row r="26" s="31" customFormat="1">
      <x:c r="A26" s="94">
        <x:f t="shared" si="1"/>
        <x:v>46070</x:v>
      </x:c>
      <x:c r="B26" s="95" t="str">
        <x:f t="shared" si="0"/>
        <x:v>Tue</x:v>
      </x:c>
      <x:c r="C26" s="96"/>
      <x:c r="D26" s="96"/>
      <x:c r="E26" s="96"/>
      <x:c r="F26" s="96"/>
      <x:c r="G26" s="96"/>
      <x:c r="H26" s="95"/>
      <x:c r="I26" s="95"/>
      <x:c r="J26" s="96"/>
      <x:c r="K26" s="95"/>
    </x:row>
    <x:row r="27" s="31" customFormat="1">
      <x:c r="A27" s="94">
        <x:f t="shared" si="1"/>
        <x:v>46071</x:v>
      </x:c>
      <x:c r="B27" s="95" t="str">
        <x:f t="shared" si="0"/>
        <x:v>Wed</x:v>
      </x:c>
      <x:c r="C27" s="96"/>
      <x:c r="D27" s="96"/>
      <x:c r="E27" s="96"/>
      <x:c r="F27" s="96"/>
      <x:c r="G27" s="95"/>
      <x:c r="H27" s="95"/>
      <x:c r="I27" s="102"/>
      <x:c r="J27" s="96"/>
      <x:c r="K27" s="95"/>
    </x:row>
    <x:row r="28" s="31" customFormat="1">
      <x:c r="A28" s="94">
        <x:f t="shared" si="1"/>
        <x:v>46072</x:v>
      </x:c>
      <x:c r="B28" s="95" t="str">
        <x:f t="shared" si="0"/>
        <x:v>Thu</x:v>
      </x:c>
      <x:c r="C28" s="96"/>
      <x:c r="D28" s="96"/>
      <x:c r="E28" s="96"/>
      <x:c r="F28" s="96"/>
      <x:c r="G28" s="95"/>
      <x:c r="H28" s="95"/>
      <x:c r="I28" s="95"/>
      <x:c r="J28" s="96"/>
      <x:c r="K28" s="95"/>
    </x:row>
    <x:row r="29" s="31" customFormat="1">
      <x:c r="A29" s="94">
        <x:f t="shared" si="1"/>
        <x:v>46073</x:v>
      </x:c>
      <x:c r="B29" s="95" t="str">
        <x:f t="shared" si="0"/>
        <x:v>Fri</x:v>
      </x:c>
      <x:c r="C29" s="96"/>
      <x:c r="D29" s="96"/>
      <x:c r="E29" s="96"/>
      <x:c r="F29" s="96"/>
      <x:c r="G29" s="96"/>
      <x:c r="H29" s="95"/>
      <x:c r="I29" s="95"/>
      <x:c r="J29" s="95"/>
      <x:c r="K29" s="95"/>
    </x:row>
    <x:row r="30" s="31" customFormat="1">
      <x:c r="A30" s="94">
        <x:f t="shared" si="1"/>
        <x:v>46074</x:v>
      </x:c>
      <x:c r="B30" s="95" t="str">
        <x:f t="shared" si="0"/>
        <x:v>Sat</x:v>
      </x:c>
      <x:c r="C30" s="96"/>
      <x:c r="D30" s="96"/>
      <x:c r="E30" s="96"/>
      <x:c r="F30" s="101"/>
      <x:c r="G30" s="96"/>
      <x:c r="H30" s="95"/>
      <x:c r="I30" s="95"/>
      <x:c r="J30" s="95"/>
      <x:c r="K30" s="95"/>
    </x:row>
    <x:row r="31" s="31" customFormat="1">
      <x:c r="A31" s="94">
        <x:f t="shared" si="1"/>
        <x:v>46075</x:v>
      </x:c>
      <x:c r="B31" s="95" t="str">
        <x:f t="shared" si="0"/>
        <x:v>Sun</x:v>
      </x:c>
      <x:c r="C31" s="96"/>
      <x:c r="D31" s="96"/>
      <x:c r="E31" s="96"/>
      <x:c r="F31" s="101"/>
      <x:c r="G31" s="95"/>
      <x:c r="H31" s="95"/>
      <x:c r="I31" s="95"/>
      <x:c r="J31" s="96"/>
      <x:c r="K31" s="95"/>
    </x:row>
    <x:row r="32" s="31" customFormat="1">
      <x:c r="A32" s="33">
        <x:f t="shared" si="1"/>
        <x:v>46076</x:v>
      </x:c>
      <x:c r="B32" s="34" t="str">
        <x:f t="shared" si="0"/>
        <x:v>Mon</x:v>
      </x:c>
      <x:c r="C32" s="35">
        <x:v>0.333333333333333</x:v>
      </x:c>
      <x:c r="D32" s="35">
        <x:v>0.708333333333333</x:v>
      </x:c>
      <x:c r="E32" s="35">
        <x:v>0.0416666666666667</x:v>
      </x:c>
      <x:c r="F32" s="36">
        <x:f t="shared" si="3"/>
        <x:v>0.333333333333333</x:v>
      </x:c>
      <x:c r="G32" s="35"/>
      <x:c r="H32" s="34"/>
      <x:c r="I32" s="34"/>
      <x:c r="J32" s="35">
        <x:v>0.333333333333333</x:v>
      </x:c>
      <x:c r="K32" s="34" t="s">
        <x:v>19</x:v>
      </x:c>
    </x:row>
    <x:row r="33" s="31" customFormat="1">
      <x:c r="A33" s="33">
        <x:f t="shared" si="1"/>
        <x:v>46077</x:v>
      </x:c>
      <x:c r="B33" s="34" t="str">
        <x:f t="shared" si="0"/>
        <x:v>Tue</x:v>
      </x:c>
      <x:c r="C33" s="35">
        <x:v>0.333333333333333</x:v>
      </x:c>
      <x:c r="D33" s="35">
        <x:v>0.708333333333333</x:v>
      </x:c>
      <x:c r="E33" s="35">
        <x:v>0.0416666666666667</x:v>
      </x:c>
      <x:c r="F33" s="36">
        <x:f t="shared" si="3"/>
        <x:v>0.333333333333333</x:v>
      </x:c>
      <x:c r="G33" s="35"/>
      <x:c r="H33" s="34"/>
      <x:c r="I33" s="34"/>
      <x:c r="J33" s="35">
        <x:v>0.333333333333333</x:v>
      </x:c>
      <x:c r="K33" s="34" t="s">
        <x:v>19</x:v>
      </x:c>
    </x:row>
    <x:row r="34" s="31" customFormat="1">
      <x:c r="A34" s="33">
        <x:f t="shared" si="1"/>
        <x:v>46078</x:v>
      </x:c>
      <x:c r="B34" s="34" t="str">
        <x:f t="shared" si="0"/>
        <x:v>Wed</x:v>
      </x:c>
      <x:c r="C34" s="35">
        <x:v>0.333333333333333</x:v>
      </x:c>
      <x:c r="D34" s="35">
        <x:v>0.708333333333333</x:v>
      </x:c>
      <x:c r="E34" s="35">
        <x:v>0.0416666666666667</x:v>
      </x:c>
      <x:c r="F34" s="36">
        <x:f t="shared" si="3"/>
        <x:v>0.333333333333333</x:v>
      </x:c>
      <x:c r="G34" s="34"/>
      <x:c r="H34" s="34"/>
      <x:c r="I34" s="100"/>
      <x:c r="J34" s="35">
        <x:v>0.333333333333333</x:v>
      </x:c>
      <x:c r="K34" s="34" t="s">
        <x:v>19</x:v>
      </x:c>
    </x:row>
    <x:row r="35" s="31" customFormat="1">
      <x:c r="A35" s="33">
        <x:f t="shared" si="1"/>
        <x:v>46079</x:v>
      </x:c>
      <x:c r="B35" s="34" t="str">
        <x:f t="shared" si="0"/>
        <x:v>Thu</x:v>
      </x:c>
      <x:c r="C35" s="35">
        <x:v>0.333333333333333</x:v>
      </x:c>
      <x:c r="D35" s="35">
        <x:v>0.708333333333333</x:v>
      </x:c>
      <x:c r="E35" s="35">
        <x:v>0.0416666666666667</x:v>
      </x:c>
      <x:c r="F35" s="36">
        <x:f t="shared" si="3"/>
        <x:v>0.333333333333333</x:v>
      </x:c>
      <x:c r="G35" s="34"/>
      <x:c r="H35" s="34"/>
      <x:c r="I35" s="34"/>
      <x:c r="J35" s="35">
        <x:v>0.333333333333333</x:v>
      </x:c>
      <x:c r="K35" s="34" t="s">
        <x:v>19</x:v>
      </x:c>
    </x:row>
    <x:row r="36" s="31" customFormat="1">
      <x:c r="A36" s="33">
        <x:f t="shared" si="1"/>
        <x:v>46080</x:v>
      </x:c>
      <x:c r="B36" s="34" t="str">
        <x:f t="shared" si="0"/>
        <x:v>Fri</x:v>
      </x:c>
      <x:c r="C36" s="35">
        <x:v>0.333333333333333</x:v>
      </x:c>
      <x:c r="D36" s="35">
        <x:v>0.708333333333333</x:v>
      </x:c>
      <x:c r="E36" s="35">
        <x:v>0.0416666666666667</x:v>
      </x:c>
      <x:c r="F36" s="36">
        <x:f t="shared" si="3"/>
        <x:v>0.333333333333333</x:v>
      </x:c>
      <x:c r="G36" s="35"/>
      <x:c r="H36" s="34"/>
      <x:c r="I36" s="34"/>
      <x:c r="J36" s="35">
        <x:v>0.333333333333333</x:v>
      </x:c>
      <x:c r="K36" s="34" t="s">
        <x:v>19</x:v>
      </x:c>
    </x:row>
    <x:row r="37" s="31" customFormat="1">
      <x:c r="A37" s="94">
        <x:f t="shared" si="1"/>
        <x:v>46081</x:v>
      </x:c>
      <x:c r="B37" s="95" t="str">
        <x:f t="shared" si="0"/>
        <x:v>Sat</x:v>
      </x:c>
      <x:c r="C37" s="96"/>
      <x:c r="D37" s="96"/>
      <x:c r="E37" s="96"/>
      <x:c r="F37" s="101"/>
      <x:c r="G37" s="96"/>
      <x:c r="H37" s="95"/>
      <x:c r="I37" s="95"/>
      <x:c r="J37" s="95"/>
      <x:c r="K37" s="95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</x:row>
  </x:sheetData>
  <x:conditionalFormatting sqref="H10:J10">
    <x:cfRule type="expression" dxfId="0" priority="391">
      <x:formula>$B10="土"</x:formula>
    </x:cfRule>
    <x:cfRule type="expression" dxfId="0" priority="392">
      <x:formula>$B10="日"</x:formula>
    </x:cfRule>
  </x:conditionalFormatting>
  <x:conditionalFormatting sqref="H10:K10">
    <x:cfRule type="timePeriod" dxfId="1" priority="393" timePeriod="lastMonth">
      <x:formula>AND(MONTH(H10)=MONTH(EDATE(TODAY(),0-1)),YEAR(H10)=YEAR(EDATE(TODAY(),0-1)))</x:formula>
    </x:cfRule>
  </x:conditionalFormatting>
  <x:conditionalFormatting sqref="K10:K10">
    <x:cfRule type="expression" dxfId="0" priority="394">
      <x:formula>WEEKDAY(K$10)=L$4</x:formula>
    </x:cfRule>
  </x:conditionalFormatting>
  <x:conditionalFormatting sqref="E11:E11">
    <x:cfRule type="expression" dxfId="0" priority="291">
      <x:formula>$B11="土"</x:formula>
    </x:cfRule>
    <x:cfRule type="expression" dxfId="0" priority="292">
      <x:formula>$B11="日"</x:formula>
    </x:cfRule>
    <x:cfRule type="timePeriod" dxfId="1" priority="290" timePeriod="lastMonth">
      <x:formula>AND(MONTH(E11)=MONTH(EDATE(TODAY(),0-1)),YEAR(E11)=YEAR(EDATE(TODAY(),0-1)))</x:formula>
    </x:cfRule>
  </x:conditionalFormatting>
  <x:conditionalFormatting sqref="G11:J11">
    <x:cfRule type="expression" dxfId="0" priority="403">
      <x:formula>$B11="土"</x:formula>
    </x:cfRule>
    <x:cfRule type="expression" dxfId="0" priority="404">
      <x:formula>$B11="日"</x:formula>
    </x:cfRule>
  </x:conditionalFormatting>
  <x:conditionalFormatting sqref="F12:F12">
    <x:cfRule type="expression" dxfId="0" priority="273">
      <x:formula>$B12="土"</x:formula>
    </x:cfRule>
    <x:cfRule type="expression" dxfId="0" priority="274">
      <x:formula>$B12="日"</x:formula>
    </x:cfRule>
    <x:cfRule type="timePeriod" dxfId="1" priority="272" timePeriod="lastMonth">
      <x:formula>AND(MONTH(F12)=MONTH(EDATE(TODAY(),0-1)),YEAR(F12)=YEAR(EDATE(TODAY(),0-1)))</x:formula>
    </x:cfRule>
  </x:conditionalFormatting>
  <x:conditionalFormatting sqref="G12:I12">
    <x:cfRule type="timePeriod" dxfId="1" priority="366" timePeriod="lastMonth">
      <x:formula>AND(MONTH(G12)=MONTH(EDATE(TODAY(),0-1)),YEAR(G12)=YEAR(EDATE(TODAY(),0-1)))</x:formula>
    </x:cfRule>
    <x:cfRule type="expression" dxfId="0" priority="367">
      <x:formula>$B12="土"</x:formula>
    </x:cfRule>
    <x:cfRule type="expression" dxfId="0" priority="368">
      <x:formula>$B12="日"</x:formula>
    </x:cfRule>
  </x:conditionalFormatting>
  <x:conditionalFormatting sqref="J12:K12">
    <x:cfRule type="timePeriod" dxfId="1" priority="364" timePeriod="lastMonth">
      <x:formula>AND(MONTH(J12)=MONTH(EDATE(TODAY(),0-1)),YEAR(J12)=YEAR(EDATE(TODAY(),0-1)))</x:formula>
    </x:cfRule>
  </x:conditionalFormatting>
  <x:conditionalFormatting sqref="J12:J12">
    <x:cfRule type="expression" dxfId="2" priority="362">
      <x:formula>$B12="日"</x:formula>
    </x:cfRule>
    <x:cfRule type="expression" dxfId="2" priority="363">
      <x:formula>$B12="土"</x:formula>
    </x:cfRule>
  </x:conditionalFormatting>
  <x:conditionalFormatting sqref="K12:K12">
    <x:cfRule type="expression" dxfId="0" priority="365">
      <x:formula>WEEKDAY(K$10)=L$4</x:formula>
    </x:cfRule>
  </x:conditionalFormatting>
  <x:conditionalFormatting sqref="F13:F13">
    <x:cfRule type="timePeriod" dxfId="1" priority="269" timePeriod="lastMonth">
      <x:formula>AND(MONTH(F13)=MONTH(EDATE(TODAY(),0-1)),YEAR(F13)=YEAR(EDATE(TODAY(),0-1)))</x:formula>
    </x:cfRule>
    <x:cfRule type="expression" dxfId="0" priority="270">
      <x:formula>$B13="土"</x:formula>
    </x:cfRule>
    <x:cfRule type="expression" dxfId="0" priority="271">
      <x:formula>$B13="日"</x:formula>
    </x:cfRule>
  </x:conditionalFormatting>
  <x:conditionalFormatting sqref="J13:J13">
    <x:cfRule type="timePeriod" dxfId="1" priority="361" timePeriod="lastMonth">
      <x:formula>AND(MONTH(J13)=MONTH(EDATE(TODAY(),0-1)),YEAR(J13)=YEAR(EDATE(TODAY(),0-1)))</x:formula>
    </x:cfRule>
    <x:cfRule type="expression" dxfId="2" priority="359">
      <x:formula>$B13="日"</x:formula>
    </x:cfRule>
    <x:cfRule type="expression" dxfId="2" priority="360">
      <x:formula>$B13="土"</x:formula>
    </x:cfRule>
  </x:conditionalFormatting>
  <x:conditionalFormatting sqref="K13:K13">
    <x:cfRule type="timePeriod" dxfId="1" priority="357" timePeriod="lastMonth">
      <x:formula>AND(MONTH(K13)=MONTH(EDATE(TODAY(),0-1)),YEAR(K13)=YEAR(EDATE(TODAY(),0-1)))</x:formula>
    </x:cfRule>
    <x:cfRule type="expression" dxfId="0" priority="358">
      <x:formula>WEEKDAY(K$10)=L$4</x:formula>
    </x:cfRule>
  </x:conditionalFormatting>
  <x:conditionalFormatting sqref="H14:I14">
    <x:cfRule type="expression" dxfId="0" priority="354">
      <x:formula>$B14="土"</x:formula>
    </x:cfRule>
    <x:cfRule type="expression" dxfId="0" priority="355">
      <x:formula>$B14="日"</x:formula>
    </x:cfRule>
    <x:cfRule type="timePeriod" dxfId="1" priority="356" timePeriod="lastMonth">
      <x:formula>AND(MONTH(H14)=MONTH(EDATE(TODAY(),0-1)),YEAR(H14)=YEAR(EDATE(TODAY(),0-1)))</x:formula>
    </x:cfRule>
  </x:conditionalFormatting>
  <x:conditionalFormatting sqref="J14:J14">
    <x:cfRule type="timePeriod" dxfId="1" priority="353" timePeriod="lastMonth">
      <x:formula>AND(MONTH(J14)=MONTH(EDATE(TODAY(),0-1)),YEAR(J14)=YEAR(EDATE(TODAY(),0-1)))</x:formula>
    </x:cfRule>
    <x:cfRule type="expression" dxfId="2" priority="351">
      <x:formula>$B14="日"</x:formula>
    </x:cfRule>
    <x:cfRule type="expression" dxfId="2" priority="352">
      <x:formula>$B14="土"</x:formula>
    </x:cfRule>
  </x:conditionalFormatting>
  <x:conditionalFormatting sqref="K14:K14">
    <x:cfRule type="timePeriod" dxfId="1" priority="349" timePeriod="lastMonth">
      <x:formula>AND(MONTH(K14)=MONTH(EDATE(TODAY(),0-1)),YEAR(K14)=YEAR(EDATE(TODAY(),0-1)))</x:formula>
    </x:cfRule>
    <x:cfRule type="expression" dxfId="0" priority="350">
      <x:formula>WEEKDAY(K$10)=L$4</x:formula>
    </x:cfRule>
  </x:conditionalFormatting>
  <x:conditionalFormatting sqref="E15:F15">
    <x:cfRule type="timePeriod" dxfId="1" priority="346" timePeriod="lastMonth">
      <x:formula>AND(MONTH(E15)=MONTH(EDATE(TODAY(),0-1)),YEAR(E15)=YEAR(EDATE(TODAY(),0-1)))</x:formula>
    </x:cfRule>
    <x:cfRule type="expression" dxfId="0" priority="347">
      <x:formula>$B15="土"</x:formula>
    </x:cfRule>
    <x:cfRule type="expression" dxfId="0" priority="348">
      <x:formula>$B15="日"</x:formula>
    </x:cfRule>
  </x:conditionalFormatting>
  <x:conditionalFormatting sqref="E15:E15">
    <x:cfRule type="timePeriod" dxfId="1" priority="281" timePeriod="lastMonth">
      <x:formula>AND(MONTH(E15)=MONTH(EDATE(TODAY(),0-1)),YEAR(E15)=YEAR(EDATE(TODAY(),0-1)))</x:formula>
    </x:cfRule>
    <x:cfRule type="expression" dxfId="0" priority="282">
      <x:formula>$B15="土"</x:formula>
    </x:cfRule>
    <x:cfRule type="expression" dxfId="0" priority="283">
      <x:formula>$B15="日"</x:formula>
    </x:cfRule>
  </x:conditionalFormatting>
  <x:conditionalFormatting sqref="F15:F15">
    <x:cfRule type="timePeriod" dxfId="1" priority="343" timePeriod="lastMonth">
      <x:formula>AND(MONTH(F15)=MONTH(EDATE(TODAY(),0-1)),YEAR(F15)=YEAR(EDATE(TODAY(),0-1)))</x:formula>
    </x:cfRule>
    <x:cfRule type="expression" dxfId="0" priority="344">
      <x:formula>$B15="土"</x:formula>
    </x:cfRule>
    <x:cfRule type="expression" dxfId="0" priority="345">
      <x:formula>$B15="日"</x:formula>
    </x:cfRule>
  </x:conditionalFormatting>
  <x:conditionalFormatting sqref="G15:G15">
    <x:cfRule type="timePeriod" dxfId="1" priority="340" timePeriod="lastMonth">
      <x:formula>AND(MONTH(G15)=MONTH(EDATE(TODAY(),0-1)),YEAR(G15)=YEAR(EDATE(TODAY(),0-1)))</x:formula>
    </x:cfRule>
    <x:cfRule type="expression" dxfId="0" priority="341">
      <x:formula>$B15="土"</x:formula>
    </x:cfRule>
    <x:cfRule type="expression" dxfId="0" priority="342">
      <x:formula>$B15="日"</x:formula>
    </x:cfRule>
  </x:conditionalFormatting>
  <x:conditionalFormatting sqref="E16:F16">
    <x:cfRule type="timePeriod" dxfId="1" priority="337" timePeriod="lastMonth">
      <x:formula>AND(MONTH(E16)=MONTH(EDATE(TODAY(),0-1)),YEAR(E16)=YEAR(EDATE(TODAY(),0-1)))</x:formula>
    </x:cfRule>
    <x:cfRule type="expression" dxfId="0" priority="338">
      <x:formula>$B16="土"</x:formula>
    </x:cfRule>
    <x:cfRule type="expression" dxfId="0" priority="339">
      <x:formula>$B16="日"</x:formula>
    </x:cfRule>
  </x:conditionalFormatting>
  <x:conditionalFormatting sqref="G16:G16">
    <x:cfRule type="timePeriod" dxfId="1" priority="334" timePeriod="lastMonth">
      <x:formula>AND(MONTH(G16)=MONTH(EDATE(TODAY(),0-1)),YEAR(G16)=YEAR(EDATE(TODAY(),0-1)))</x:formula>
    </x:cfRule>
    <x:cfRule type="expression" dxfId="0" priority="335">
      <x:formula>$B16="土"</x:formula>
    </x:cfRule>
    <x:cfRule type="expression" dxfId="0" priority="336">
      <x:formula>$B16="日"</x:formula>
    </x:cfRule>
  </x:conditionalFormatting>
  <x:conditionalFormatting sqref="E17:E17">
    <x:cfRule type="timePeriod" dxfId="1" priority="293" timePeriod="lastMonth">
      <x:formula>AND(MONTH(E17)=MONTH(EDATE(TODAY(),0-1)),YEAR(E17)=YEAR(EDATE(TODAY(),0-1)))</x:formula>
    </x:cfRule>
    <x:cfRule type="expression" dxfId="0" priority="294">
      <x:formula>$B17="土"</x:formula>
    </x:cfRule>
    <x:cfRule type="expression" dxfId="0" priority="295">
      <x:formula>$B17="日"</x:formula>
    </x:cfRule>
  </x:conditionalFormatting>
  <x:conditionalFormatting sqref="F17:F17">
    <x:cfRule type="timePeriod" dxfId="1" priority="263" timePeriod="lastMonth">
      <x:formula>AND(MONTH(F17)=MONTH(EDATE(TODAY(),0-1)),YEAR(F17)=YEAR(EDATE(TODAY(),0-1)))</x:formula>
    </x:cfRule>
    <x:cfRule type="expression" dxfId="0" priority="264">
      <x:formula>$B17="土"</x:formula>
    </x:cfRule>
    <x:cfRule type="expression" dxfId="0" priority="265">
      <x:formula>$B17="日"</x:formula>
    </x:cfRule>
  </x:conditionalFormatting>
  <x:conditionalFormatting sqref="K17:K17">
    <x:cfRule type="expression" dxfId="0" priority="387">
      <x:formula>WEEKDAY(K$10)=L$4</x:formula>
    </x:cfRule>
  </x:conditionalFormatting>
  <x:conditionalFormatting sqref="E18:E18">
    <x:cfRule type="expression" dxfId="0" priority="74">
      <x:formula>$B18="土"</x:formula>
    </x:cfRule>
    <x:cfRule type="expression" dxfId="0" priority="75">
      <x:formula>$B18="日"</x:formula>
    </x:cfRule>
    <x:cfRule type="timePeriod" dxfId="1" priority="73" timePeriod="lastMonth">
      <x:formula>AND(MONTH(E18)=MONTH(EDATE(TODAY(),0-1)),YEAR(E18)=YEAR(EDATE(TODAY(),0-1)))</x:formula>
    </x:cfRule>
  </x:conditionalFormatting>
  <x:conditionalFormatting sqref="G18:I18">
    <x:cfRule type="expression" dxfId="0" priority="401">
      <x:formula>$B18="土"</x:formula>
    </x:cfRule>
    <x:cfRule type="expression" dxfId="0" priority="402">
      <x:formula>$B18="日"</x:formula>
    </x:cfRule>
  </x:conditionalFormatting>
  <x:conditionalFormatting sqref="J18:J18">
    <x:cfRule type="expression" dxfId="0" priority="311">
      <x:formula>$B18="土"</x:formula>
    </x:cfRule>
    <x:cfRule type="expression" dxfId="0" priority="312">
      <x:formula>$B18="日"</x:formula>
    </x:cfRule>
    <x:cfRule type="timePeriod" dxfId="1" priority="313" timePeriod="lastMonth">
      <x:formula>AND(MONTH(J18)=MONTH(EDATE(TODAY(),0-1)),YEAR(J18)=YEAR(EDATE(TODAY(),0-1)))</x:formula>
    </x:cfRule>
  </x:conditionalFormatting>
  <x:conditionalFormatting sqref="G19:I19">
    <x:cfRule type="timePeriod" dxfId="1" priority="245" timePeriod="lastMonth">
      <x:formula>AND(MONTH(G19)=MONTH(EDATE(TODAY(),0-1)),YEAR(G19)=YEAR(EDATE(TODAY(),0-1)))</x:formula>
    </x:cfRule>
    <x:cfRule type="expression" dxfId="0" priority="246">
      <x:formula>$B19="土"</x:formula>
    </x:cfRule>
    <x:cfRule type="expression" dxfId="0" priority="247">
      <x:formula>$B19="日"</x:formula>
    </x:cfRule>
  </x:conditionalFormatting>
  <x:conditionalFormatting sqref="J19:K19">
    <x:cfRule type="timePeriod" dxfId="1" priority="243" timePeriod="lastMonth">
      <x:formula>AND(MONTH(J19)=MONTH(EDATE(TODAY(),0-1)),YEAR(J19)=YEAR(EDATE(TODAY(),0-1)))</x:formula>
    </x:cfRule>
  </x:conditionalFormatting>
  <x:conditionalFormatting sqref="J19:J19">
    <x:cfRule type="expression" dxfId="2" priority="241">
      <x:formula>$B19="日"</x:formula>
    </x:cfRule>
    <x:cfRule type="expression" dxfId="2" priority="242">
      <x:formula>$B19="土"</x:formula>
    </x:cfRule>
  </x:conditionalFormatting>
  <x:conditionalFormatting sqref="K19:K19">
    <x:cfRule type="expression" dxfId="0" priority="244">
      <x:formula>WEEKDAY(K$10)=L$4</x:formula>
    </x:cfRule>
  </x:conditionalFormatting>
  <x:conditionalFormatting sqref="H20:I20">
    <x:cfRule type="expression" dxfId="0" priority="248">
      <x:formula>$B20="土"</x:formula>
    </x:cfRule>
    <x:cfRule type="expression" dxfId="0" priority="249">
      <x:formula>$B20="日"</x:formula>
    </x:cfRule>
    <x:cfRule type="timePeriod" dxfId="1" priority="250" timePeriod="lastMonth">
      <x:formula>AND(MONTH(H20)=MONTH(EDATE(TODAY(),0-1)),YEAR(H20)=YEAR(EDATE(TODAY(),0-1)))</x:formula>
    </x:cfRule>
  </x:conditionalFormatting>
  <x:conditionalFormatting sqref="J20:J20">
    <x:cfRule type="timePeriod" dxfId="1" priority="240" timePeriod="lastMonth">
      <x:formula>AND(MONTH(J20)=MONTH(EDATE(TODAY(),0-1)),YEAR(J20)=YEAR(EDATE(TODAY(),0-1)))</x:formula>
    </x:cfRule>
    <x:cfRule type="expression" dxfId="2" priority="238">
      <x:formula>$B20="日"</x:formula>
    </x:cfRule>
    <x:cfRule type="expression" dxfId="2" priority="239">
      <x:formula>$B20="土"</x:formula>
    </x:cfRule>
  </x:conditionalFormatting>
  <x:conditionalFormatting sqref="K20:K20">
    <x:cfRule type="timePeriod" dxfId="1" priority="236" timePeriod="lastMonth">
      <x:formula>AND(MONTH(K20)=MONTH(EDATE(TODAY(),0-1)),YEAR(K20)=YEAR(EDATE(TODAY(),0-1)))</x:formula>
    </x:cfRule>
    <x:cfRule type="expression" dxfId="0" priority="237">
      <x:formula>WEEKDAY(K$10)=L$4</x:formula>
    </x:cfRule>
  </x:conditionalFormatting>
  <x:conditionalFormatting sqref="J21:J21">
    <x:cfRule type="timePeriod" dxfId="1" priority="333" timePeriod="lastMonth">
      <x:formula>AND(MONTH(J21)=MONTH(EDATE(TODAY(),0-1)),YEAR(J21)=YEAR(EDATE(TODAY(),0-1)))</x:formula>
    </x:cfRule>
    <x:cfRule type="expression" dxfId="2" priority="331">
      <x:formula>$B21="日"</x:formula>
    </x:cfRule>
    <x:cfRule type="expression" dxfId="2" priority="332">
      <x:formula>$B21="土"</x:formula>
    </x:cfRule>
  </x:conditionalFormatting>
  <x:conditionalFormatting sqref="K21:K21">
    <x:cfRule type="timePeriod" dxfId="1" priority="320" timePeriod="lastMonth">
      <x:formula>AND(MONTH(K21)=MONTH(EDATE(TODAY(),0-1)),YEAR(K21)=YEAR(EDATE(TODAY(),0-1)))</x:formula>
    </x:cfRule>
    <x:cfRule type="expression" dxfId="0" priority="321">
      <x:formula>WEEKDAY(K$10)=L$4</x:formula>
    </x:cfRule>
  </x:conditionalFormatting>
  <x:conditionalFormatting sqref="C22:D22">
    <x:cfRule type="timePeriod" dxfId="1" priority="64" timePeriod="lastMonth">
      <x:formula>AND(MONTH(C22)=MONTH(EDATE(TODAY(),0-1)),YEAR(C22)=YEAR(EDATE(TODAY(),0-1)))</x:formula>
    </x:cfRule>
    <x:cfRule type="expression" dxfId="0" priority="65">
      <x:formula>$B22="土"</x:formula>
    </x:cfRule>
    <x:cfRule type="expression" dxfId="0" priority="66">
      <x:formula>$B22="日"</x:formula>
    </x:cfRule>
  </x:conditionalFormatting>
  <x:conditionalFormatting sqref="E22:E22">
    <x:cfRule type="timePeriod" dxfId="1" priority="79" timePeriod="lastMonth">
      <x:formula>AND(MONTH(E22)=MONTH(EDATE(TODAY(),0-1)),YEAR(E22)=YEAR(EDATE(TODAY(),0-1)))</x:formula>
    </x:cfRule>
    <x:cfRule type="expression" dxfId="0" priority="80">
      <x:formula>$B22="土"</x:formula>
    </x:cfRule>
    <x:cfRule type="expression" dxfId="0" priority="81">
      <x:formula>$B22="日"</x:formula>
    </x:cfRule>
    <x:cfRule type="timePeriod" dxfId="1" priority="67" timePeriod="lastMonth">
      <x:formula>AND(MONTH(E22)=MONTH(EDATE(TODAY(),0-1)),YEAR(E22)=YEAR(EDATE(TODAY(),0-1)))</x:formula>
    </x:cfRule>
    <x:cfRule type="expression" dxfId="0" priority="68">
      <x:formula>$B22="土"</x:formula>
    </x:cfRule>
    <x:cfRule type="expression" dxfId="0" priority="69">
      <x:formula>$B22="日"</x:formula>
    </x:cfRule>
  </x:conditionalFormatting>
  <x:conditionalFormatting sqref="J22:K22">
    <x:cfRule type="expression" dxfId="0" priority="305">
      <x:formula>$B22="土"</x:formula>
    </x:cfRule>
    <x:cfRule type="expression" dxfId="0" priority="306">
      <x:formula>$B22="日"</x:formula>
    </x:cfRule>
    <x:cfRule type="timePeriod" dxfId="1" priority="307" timePeriod="lastMonth">
      <x:formula>AND(MONTH(J22)=MONTH(EDATE(TODAY(),0-1)),YEAR(J22)=YEAR(EDATE(TODAY(),0-1)))</x:formula>
    </x:cfRule>
  </x:conditionalFormatting>
  <x:conditionalFormatting sqref="E23:F23">
    <x:cfRule type="timePeriod" dxfId="1" priority="184" timePeriod="lastMonth">
      <x:formula>AND(MONTH(E23)=MONTH(EDATE(TODAY(),0-1)),YEAR(E23)=YEAR(EDATE(TODAY(),0-1)))</x:formula>
    </x:cfRule>
    <x:cfRule type="expression" dxfId="0" priority="185">
      <x:formula>$B23="土"</x:formula>
    </x:cfRule>
    <x:cfRule type="expression" dxfId="0" priority="186">
      <x:formula>$B23="日"</x:formula>
    </x:cfRule>
  </x:conditionalFormatting>
  <x:conditionalFormatting sqref="F23:F23">
    <x:cfRule type="timePeriod" dxfId="1" priority="191" timePeriod="lastMonth">
      <x:formula>AND(MONTH(F23)=MONTH(EDATE(TODAY(),0-1)),YEAR(F23)=YEAR(EDATE(TODAY(),0-1)))</x:formula>
    </x:cfRule>
    <x:cfRule type="expression" dxfId="0" priority="192">
      <x:formula>$B23="土"</x:formula>
    </x:cfRule>
    <x:cfRule type="expression" dxfId="0" priority="193">
      <x:formula>$B23="日"</x:formula>
    </x:cfRule>
  </x:conditionalFormatting>
  <x:conditionalFormatting sqref="G23:G23">
    <x:cfRule type="timePeriod" dxfId="1" priority="181" timePeriod="lastMonth">
      <x:formula>AND(MONTH(G23)=MONTH(EDATE(TODAY(),0-1)),YEAR(G23)=YEAR(EDATE(TODAY(),0-1)))</x:formula>
    </x:cfRule>
    <x:cfRule type="expression" dxfId="0" priority="182">
      <x:formula>$B23="土"</x:formula>
    </x:cfRule>
    <x:cfRule type="expression" dxfId="0" priority="183">
      <x:formula>$B23="日"</x:formula>
    </x:cfRule>
  </x:conditionalFormatting>
  <x:conditionalFormatting sqref="J23:K23">
    <x:cfRule type="expression" dxfId="0" priority="178">
      <x:formula>$B23="土"</x:formula>
    </x:cfRule>
    <x:cfRule type="expression" dxfId="0" priority="179">
      <x:formula>$B23="日"</x:formula>
    </x:cfRule>
    <x:cfRule type="timePeriod" dxfId="1" priority="180" timePeriod="lastMonth">
      <x:formula>AND(MONTH(J23)=MONTH(EDATE(TODAY(),0-1)),YEAR(J23)=YEAR(EDATE(TODAY(),0-1)))</x:formula>
    </x:cfRule>
  </x:conditionalFormatting>
  <x:conditionalFormatting sqref="E24:E24">
    <x:cfRule type="timePeriod" dxfId="1" priority="172" timePeriod="lastMonth">
      <x:formula>AND(MONTH(E24)=MONTH(EDATE(TODAY(),0-1)),YEAR(E24)=YEAR(EDATE(TODAY(),0-1)))</x:formula>
    </x:cfRule>
    <x:cfRule type="expression" dxfId="0" priority="173">
      <x:formula>$B24="土"</x:formula>
    </x:cfRule>
    <x:cfRule type="expression" dxfId="0" priority="174">
      <x:formula>$B24="日"</x:formula>
    </x:cfRule>
  </x:conditionalFormatting>
  <x:conditionalFormatting sqref="F24:F24">
    <x:cfRule type="timePeriod" dxfId="1" priority="157" timePeriod="lastMonth">
      <x:formula>AND(MONTH(F24)=MONTH(EDATE(TODAY(),0-1)),YEAR(F24)=YEAR(EDATE(TODAY(),0-1)))</x:formula>
    </x:cfRule>
    <x:cfRule type="expression" dxfId="0" priority="158">
      <x:formula>$B24="土"</x:formula>
    </x:cfRule>
    <x:cfRule type="expression" dxfId="0" priority="159">
      <x:formula>$B24="日"</x:formula>
    </x:cfRule>
  </x:conditionalFormatting>
  <x:conditionalFormatting sqref="K24:K24">
    <x:cfRule type="expression" dxfId="0" priority="190">
      <x:formula>WEEKDAY(K$10)=L$4</x:formula>
    </x:cfRule>
  </x:conditionalFormatting>
  <x:conditionalFormatting sqref="E25:E25">
    <x:cfRule type="expression" dxfId="0" priority="47">
      <x:formula>$B25="土"</x:formula>
    </x:cfRule>
    <x:cfRule type="expression" dxfId="0" priority="48">
      <x:formula>$B25="日"</x:formula>
    </x:cfRule>
    <x:cfRule type="timePeriod" dxfId="1" priority="46" timePeriod="lastMonth">
      <x:formula>AND(MONTH(E25)=MONTH(EDATE(TODAY(),0-1)),YEAR(E25)=YEAR(EDATE(TODAY(),0-1)))</x:formula>
    </x:cfRule>
  </x:conditionalFormatting>
  <x:conditionalFormatting sqref="G26:I26">
    <x:cfRule type="timePeriod" dxfId="1" priority="227" timePeriod="lastMonth">
      <x:formula>AND(MONTH(G26)=MONTH(EDATE(TODAY(),0-1)),YEAR(G26)=YEAR(EDATE(TODAY(),0-1)))</x:formula>
    </x:cfRule>
    <x:cfRule type="expression" dxfId="0" priority="228">
      <x:formula>$B26="土"</x:formula>
    </x:cfRule>
    <x:cfRule type="expression" dxfId="0" priority="229">
      <x:formula>$B26="日"</x:formula>
    </x:cfRule>
  </x:conditionalFormatting>
  <x:conditionalFormatting sqref="J26:K26">
    <x:cfRule type="timePeriod" dxfId="1" priority="225" timePeriod="lastMonth">
      <x:formula>AND(MONTH(J26)=MONTH(EDATE(TODAY(),0-1)),YEAR(J26)=YEAR(EDATE(TODAY(),0-1)))</x:formula>
    </x:cfRule>
  </x:conditionalFormatting>
  <x:conditionalFormatting sqref="J26:J26">
    <x:cfRule type="expression" dxfId="2" priority="223">
      <x:formula>$B26="日"</x:formula>
    </x:cfRule>
    <x:cfRule type="expression" dxfId="2" priority="224">
      <x:formula>$B26="土"</x:formula>
    </x:cfRule>
  </x:conditionalFormatting>
  <x:conditionalFormatting sqref="K26:K26">
    <x:cfRule type="expression" dxfId="0" priority="226">
      <x:formula>WEEKDAY(K$10)=L$4</x:formula>
    </x:cfRule>
  </x:conditionalFormatting>
  <x:conditionalFormatting sqref="H27:I27">
    <x:cfRule type="expression" dxfId="0" priority="230">
      <x:formula>$B27="土"</x:formula>
    </x:cfRule>
    <x:cfRule type="expression" dxfId="0" priority="231">
      <x:formula>$B27="日"</x:formula>
    </x:cfRule>
    <x:cfRule type="timePeriod" dxfId="1" priority="232" timePeriod="lastMonth">
      <x:formula>AND(MONTH(H27)=MONTH(EDATE(TODAY(),0-1)),YEAR(H27)=YEAR(EDATE(TODAY(),0-1)))</x:formula>
    </x:cfRule>
  </x:conditionalFormatting>
  <x:conditionalFormatting sqref="J27:J27">
    <x:cfRule type="timePeriod" dxfId="1" priority="222" timePeriod="lastMonth">
      <x:formula>AND(MONTH(J27)=MONTH(EDATE(TODAY(),0-1)),YEAR(J27)=YEAR(EDATE(TODAY(),0-1)))</x:formula>
    </x:cfRule>
    <x:cfRule type="expression" dxfId="2" priority="220">
      <x:formula>$B27="日"</x:formula>
    </x:cfRule>
    <x:cfRule type="expression" dxfId="2" priority="221">
      <x:formula>$B27="土"</x:formula>
    </x:cfRule>
  </x:conditionalFormatting>
  <x:conditionalFormatting sqref="K27:K27">
    <x:cfRule type="timePeriod" dxfId="1" priority="218" timePeriod="lastMonth">
      <x:formula>AND(MONTH(K27)=MONTH(EDATE(TODAY(),0-1)),YEAR(K27)=YEAR(EDATE(TODAY(),0-1)))</x:formula>
    </x:cfRule>
    <x:cfRule type="expression" dxfId="0" priority="219">
      <x:formula>WEEKDAY(K$10)=L$4</x:formula>
    </x:cfRule>
  </x:conditionalFormatting>
  <x:conditionalFormatting sqref="J28:J28">
    <x:cfRule type="timePeriod" dxfId="1" priority="330" timePeriod="lastMonth">
      <x:formula>AND(MONTH(J28)=MONTH(EDATE(TODAY(),0-1)),YEAR(J28)=YEAR(EDATE(TODAY(),0-1)))</x:formula>
    </x:cfRule>
    <x:cfRule type="expression" dxfId="2" priority="328">
      <x:formula>$B28="日"</x:formula>
    </x:cfRule>
    <x:cfRule type="expression" dxfId="2" priority="329">
      <x:formula>$B28="土"</x:formula>
    </x:cfRule>
  </x:conditionalFormatting>
  <x:conditionalFormatting sqref="K28:K28">
    <x:cfRule type="expression" dxfId="0" priority="378">
      <x:formula>WEEKDAY(K$10)=L$4</x:formula>
    </x:cfRule>
  </x:conditionalFormatting>
  <x:conditionalFormatting sqref="C29:D29">
    <x:cfRule type="timePeriod" dxfId="1" priority="37" timePeriod="lastMonth">
      <x:formula>AND(MONTH(C29)=MONTH(EDATE(TODAY(),0-1)),YEAR(C29)=YEAR(EDATE(TODAY(),0-1)))</x:formula>
    </x:cfRule>
    <x:cfRule type="expression" dxfId="0" priority="38">
      <x:formula>$B29="土"</x:formula>
    </x:cfRule>
    <x:cfRule type="expression" dxfId="0" priority="39">
      <x:formula>$B29="日"</x:formula>
    </x:cfRule>
  </x:conditionalFormatting>
  <x:conditionalFormatting sqref="E29:E29">
    <x:cfRule type="timePeriod" dxfId="1" priority="52" timePeriod="lastMonth">
      <x:formula>AND(MONTH(E29)=MONTH(EDATE(TODAY(),0-1)),YEAR(E29)=YEAR(EDATE(TODAY(),0-1)))</x:formula>
    </x:cfRule>
    <x:cfRule type="expression" dxfId="0" priority="53">
      <x:formula>$B29="土"</x:formula>
    </x:cfRule>
    <x:cfRule type="expression" dxfId="0" priority="54">
      <x:formula>$B29="日"</x:formula>
    </x:cfRule>
    <x:cfRule type="timePeriod" dxfId="1" priority="40" timePeriod="lastMonth">
      <x:formula>AND(MONTH(E29)=MONTH(EDATE(TODAY(),0-1)),YEAR(E29)=YEAR(EDATE(TODAY(),0-1)))</x:formula>
    </x:cfRule>
    <x:cfRule type="expression" dxfId="0" priority="41">
      <x:formula>$B29="土"</x:formula>
    </x:cfRule>
    <x:cfRule type="expression" dxfId="0" priority="42">
      <x:formula>$B29="日"</x:formula>
    </x:cfRule>
  </x:conditionalFormatting>
  <x:conditionalFormatting sqref="G29:G29">
    <x:cfRule type="timePeriod" dxfId="1" priority="317" timePeriod="lastMonth">
      <x:formula>AND(MONTH(G29)=MONTH(EDATE(TODAY(),0-1)),YEAR(G29)=YEAR(EDATE(TODAY(),0-1)))</x:formula>
    </x:cfRule>
    <x:cfRule type="expression" dxfId="0" priority="318">
      <x:formula>$B29="土"</x:formula>
    </x:cfRule>
    <x:cfRule type="expression" dxfId="0" priority="319">
      <x:formula>$B29="日"</x:formula>
    </x:cfRule>
  </x:conditionalFormatting>
  <x:conditionalFormatting sqref="J29:K29">
    <x:cfRule type="expression" dxfId="0" priority="302">
      <x:formula>$B29="土"</x:formula>
    </x:cfRule>
    <x:cfRule type="expression" dxfId="0" priority="303">
      <x:formula>$B29="日"</x:formula>
    </x:cfRule>
    <x:cfRule type="timePeriod" dxfId="1" priority="304" timePeriod="lastMonth">
      <x:formula>AND(MONTH(J29)=MONTH(EDATE(TODAY(),0-1)),YEAR(J29)=YEAR(EDATE(TODAY(),0-1)))</x:formula>
    </x:cfRule>
  </x:conditionalFormatting>
  <x:conditionalFormatting sqref="E30:F30">
    <x:cfRule type="timePeriod" dxfId="1" priority="141" timePeriod="lastMonth">
      <x:formula>AND(MONTH(E30)=MONTH(EDATE(TODAY(),0-1)),YEAR(E30)=YEAR(EDATE(TODAY(),0-1)))</x:formula>
    </x:cfRule>
    <x:cfRule type="expression" dxfId="0" priority="142">
      <x:formula>$B30="土"</x:formula>
    </x:cfRule>
    <x:cfRule type="expression" dxfId="0" priority="143">
      <x:formula>$B30="日"</x:formula>
    </x:cfRule>
  </x:conditionalFormatting>
  <x:conditionalFormatting sqref="F30:F30">
    <x:cfRule type="timePeriod" dxfId="1" priority="148" timePeriod="lastMonth">
      <x:formula>AND(MONTH(F30)=MONTH(EDATE(TODAY(),0-1)),YEAR(F30)=YEAR(EDATE(TODAY(),0-1)))</x:formula>
    </x:cfRule>
    <x:cfRule type="expression" dxfId="0" priority="149">
      <x:formula>$B30="土"</x:formula>
    </x:cfRule>
    <x:cfRule type="expression" dxfId="0" priority="150">
      <x:formula>$B30="日"</x:formula>
    </x:cfRule>
  </x:conditionalFormatting>
  <x:conditionalFormatting sqref="G30:G30">
    <x:cfRule type="timePeriod" dxfId="1" priority="138" timePeriod="lastMonth">
      <x:formula>AND(MONTH(G30)=MONTH(EDATE(TODAY(),0-1)),YEAR(G30)=YEAR(EDATE(TODAY(),0-1)))</x:formula>
    </x:cfRule>
    <x:cfRule type="expression" dxfId="0" priority="139">
      <x:formula>$B30="土"</x:formula>
    </x:cfRule>
    <x:cfRule type="expression" dxfId="0" priority="140">
      <x:formula>$B30="日"</x:formula>
    </x:cfRule>
  </x:conditionalFormatting>
  <x:conditionalFormatting sqref="J30:K30">
    <x:cfRule type="expression" dxfId="0" priority="135">
      <x:formula>$B30="土"</x:formula>
    </x:cfRule>
    <x:cfRule type="expression" dxfId="0" priority="136">
      <x:formula>$B30="日"</x:formula>
    </x:cfRule>
    <x:cfRule type="timePeriod" dxfId="1" priority="137" timePeriod="lastMonth">
      <x:formula>AND(MONTH(J30)=MONTH(EDATE(TODAY(),0-1)),YEAR(J30)=YEAR(EDATE(TODAY(),0-1)))</x:formula>
    </x:cfRule>
  </x:conditionalFormatting>
  <x:conditionalFormatting sqref="E31:E31">
    <x:cfRule type="timePeriod" dxfId="1" priority="129" timePeriod="lastMonth">
      <x:formula>AND(MONTH(E31)=MONTH(EDATE(TODAY(),0-1)),YEAR(E31)=YEAR(EDATE(TODAY(),0-1)))</x:formula>
    </x:cfRule>
    <x:cfRule type="expression" dxfId="0" priority="130">
      <x:formula>$B31="土"</x:formula>
    </x:cfRule>
    <x:cfRule type="expression" dxfId="0" priority="131">
      <x:formula>$B31="日"</x:formula>
    </x:cfRule>
  </x:conditionalFormatting>
  <x:conditionalFormatting sqref="F31:F31">
    <x:cfRule type="timePeriod" dxfId="1" priority="114" timePeriod="lastMonth">
      <x:formula>AND(MONTH(F31)=MONTH(EDATE(TODAY(),0-1)),YEAR(F31)=YEAR(EDATE(TODAY(),0-1)))</x:formula>
    </x:cfRule>
    <x:cfRule type="expression" dxfId="0" priority="115">
      <x:formula>$B31="土"</x:formula>
    </x:cfRule>
    <x:cfRule type="expression" dxfId="0" priority="116">
      <x:formula>$B31="日"</x:formula>
    </x:cfRule>
  </x:conditionalFormatting>
  <x:conditionalFormatting sqref="K31:K31">
    <x:cfRule type="expression" dxfId="0" priority="147">
      <x:formula>WEEKDAY(K$10)=L$4</x:formula>
    </x:cfRule>
  </x:conditionalFormatting>
  <x:conditionalFormatting sqref="E32:E32">
    <x:cfRule type="expression" dxfId="0" priority="20">
      <x:formula>$B32="土"</x:formula>
    </x:cfRule>
    <x:cfRule type="expression" dxfId="0" priority="21">
      <x:formula>$B32="日"</x:formula>
    </x:cfRule>
    <x:cfRule type="timePeriod" dxfId="1" priority="19" timePeriod="lastMonth">
      <x:formula>AND(MONTH(E32)=MONTH(EDATE(TODAY(),0-1)),YEAR(E32)=YEAR(EDATE(TODAY(),0-1)))</x:formula>
    </x:cfRule>
  </x:conditionalFormatting>
  <x:conditionalFormatting sqref="G33:I33">
    <x:cfRule type="timePeriod" dxfId="1" priority="209" timePeriod="lastMonth">
      <x:formula>AND(MONTH(G33)=MONTH(EDATE(TODAY(),0-1)),YEAR(G33)=YEAR(EDATE(TODAY(),0-1)))</x:formula>
    </x:cfRule>
    <x:cfRule type="expression" dxfId="0" priority="210">
      <x:formula>$B33="土"</x:formula>
    </x:cfRule>
    <x:cfRule type="expression" dxfId="0" priority="211">
      <x:formula>$B33="日"</x:formula>
    </x:cfRule>
  </x:conditionalFormatting>
  <x:conditionalFormatting sqref="J33:K33">
    <x:cfRule type="timePeriod" dxfId="1" priority="207" timePeriod="lastMonth">
      <x:formula>AND(MONTH(J33)=MONTH(EDATE(TODAY(),0-1)),YEAR(J33)=YEAR(EDATE(TODAY(),0-1)))</x:formula>
    </x:cfRule>
  </x:conditionalFormatting>
  <x:conditionalFormatting sqref="J33:J33">
    <x:cfRule type="expression" dxfId="2" priority="205">
      <x:formula>$B33="日"</x:formula>
    </x:cfRule>
    <x:cfRule type="expression" dxfId="2" priority="206">
      <x:formula>$B33="土"</x:formula>
    </x:cfRule>
  </x:conditionalFormatting>
  <x:conditionalFormatting sqref="K33:K33">
    <x:cfRule type="expression" dxfId="0" priority="208">
      <x:formula>WEEKDAY(K$10)=L$4</x:formula>
    </x:cfRule>
  </x:conditionalFormatting>
  <x:conditionalFormatting sqref="H34:I34">
    <x:cfRule type="expression" dxfId="0" priority="212">
      <x:formula>$B34="土"</x:formula>
    </x:cfRule>
    <x:cfRule type="expression" dxfId="0" priority="213">
      <x:formula>$B34="日"</x:formula>
    </x:cfRule>
    <x:cfRule type="timePeriod" dxfId="1" priority="214" timePeriod="lastMonth">
      <x:formula>AND(MONTH(H34)=MONTH(EDATE(TODAY(),0-1)),YEAR(H34)=YEAR(EDATE(TODAY(),0-1)))</x:formula>
    </x:cfRule>
  </x:conditionalFormatting>
  <x:conditionalFormatting sqref="J34:J34">
    <x:cfRule type="timePeriod" dxfId="1" priority="204" timePeriod="lastMonth">
      <x:formula>AND(MONTH(J34)=MONTH(EDATE(TODAY(),0-1)),YEAR(J34)=YEAR(EDATE(TODAY(),0-1)))</x:formula>
    </x:cfRule>
    <x:cfRule type="expression" dxfId="2" priority="202">
      <x:formula>$B34="日"</x:formula>
    </x:cfRule>
    <x:cfRule type="expression" dxfId="2" priority="203">
      <x:formula>$B34="土"</x:formula>
    </x:cfRule>
  </x:conditionalFormatting>
  <x:conditionalFormatting sqref="K34:K34">
    <x:cfRule type="timePeriod" dxfId="1" priority="200" timePeriod="lastMonth">
      <x:formula>AND(MONTH(K34)=MONTH(EDATE(TODAY(),0-1)),YEAR(K34)=YEAR(EDATE(TODAY(),0-1)))</x:formula>
    </x:cfRule>
    <x:cfRule type="expression" dxfId="0" priority="201">
      <x:formula>WEEKDAY(K$10)=L$4</x:formula>
    </x:cfRule>
  </x:conditionalFormatting>
  <x:conditionalFormatting sqref="J35:J35">
    <x:cfRule type="timePeriod" dxfId="1" priority="327" timePeriod="lastMonth">
      <x:formula>AND(MONTH(J35)=MONTH(EDATE(TODAY(),0-1)),YEAR(J35)=YEAR(EDATE(TODAY(),0-1)))</x:formula>
    </x:cfRule>
    <x:cfRule type="expression" dxfId="2" priority="325">
      <x:formula>$B35="日"</x:formula>
    </x:cfRule>
    <x:cfRule type="expression" dxfId="2" priority="326">
      <x:formula>$B35="土"</x:formula>
    </x:cfRule>
  </x:conditionalFormatting>
  <x:conditionalFormatting sqref="K35:K35">
    <x:cfRule type="expression" dxfId="0" priority="372">
      <x:formula>WEEKDAY(K$10)=L$4</x:formula>
    </x:cfRule>
  </x:conditionalFormatting>
  <x:conditionalFormatting sqref="C36:D36">
    <x:cfRule type="timePeriod" dxfId="1" priority="10" timePeriod="lastMonth">
      <x:formula>AND(MONTH(C36)=MONTH(EDATE(TODAY(),0-1)),YEAR(C36)=YEAR(EDATE(TODAY(),0-1)))</x:formula>
    </x:cfRule>
    <x:cfRule type="expression" dxfId="0" priority="11">
      <x:formula>$B36="土"</x:formula>
    </x:cfRule>
    <x:cfRule type="expression" dxfId="0" priority="12">
      <x:formula>$B36="日"</x:formula>
    </x:cfRule>
  </x:conditionalFormatting>
  <x:conditionalFormatting sqref="E36:E36">
    <x:cfRule type="timePeriod" dxfId="1" priority="25" timePeriod="lastMonth">
      <x:formula>AND(MONTH(E36)=MONTH(EDATE(TODAY(),0-1)),YEAR(E36)=YEAR(EDATE(TODAY(),0-1)))</x:formula>
    </x:cfRule>
    <x:cfRule type="expression" dxfId="0" priority="26">
      <x:formula>$B36="土"</x:formula>
    </x:cfRule>
    <x:cfRule type="expression" dxfId="0" priority="27">
      <x:formula>$B36="日"</x:formula>
    </x:cfRule>
    <x:cfRule type="timePeriod" dxfId="1" priority="13" timePeriod="lastMonth">
      <x:formula>AND(MONTH(E36)=MONTH(EDATE(TODAY(),0-1)),YEAR(E36)=YEAR(EDATE(TODAY(),0-1)))</x:formula>
    </x:cfRule>
    <x:cfRule type="expression" dxfId="0" priority="14">
      <x:formula>$B36="土"</x:formula>
    </x:cfRule>
    <x:cfRule type="expression" dxfId="0" priority="15">
      <x:formula>$B36="日"</x:formula>
    </x:cfRule>
  </x:conditionalFormatting>
  <x:conditionalFormatting sqref="G36:G36">
    <x:cfRule type="timePeriod" dxfId="1" priority="314" timePeriod="lastMonth">
      <x:formula>AND(MONTH(G36)=MONTH(EDATE(TODAY(),0-1)),YEAR(G36)=YEAR(EDATE(TODAY(),0-1)))</x:formula>
    </x:cfRule>
    <x:cfRule type="expression" dxfId="0" priority="315">
      <x:formula>$B36="土"</x:formula>
    </x:cfRule>
    <x:cfRule type="expression" dxfId="0" priority="316">
      <x:formula>$B36="日"</x:formula>
    </x:cfRule>
  </x:conditionalFormatting>
  <x:conditionalFormatting sqref="J36:K36">
    <x:cfRule type="expression" dxfId="0" priority="299">
      <x:formula>$B36="土"</x:formula>
    </x:cfRule>
    <x:cfRule type="expression" dxfId="0" priority="300">
      <x:formula>$B36="日"</x:formula>
    </x:cfRule>
    <x:cfRule type="timePeriod" dxfId="1" priority="301" timePeriod="lastMonth">
      <x:formula>AND(MONTH(J36)=MONTH(EDATE(TODAY(),0-1)),YEAR(J36)=YEAR(EDATE(TODAY(),0-1)))</x:formula>
    </x:cfRule>
  </x:conditionalFormatting>
  <x:conditionalFormatting sqref="B37:B37">
    <x:cfRule type="timePeriod" dxfId="1" priority="110" timePeriod="lastMonth">
      <x:formula>AND(MONTH(B37)=MONTH(EDATE(TODAY(),0-1)),YEAR(B37)=YEAR(EDATE(TODAY(),0-1)))</x:formula>
    </x:cfRule>
  </x:conditionalFormatting>
  <x:conditionalFormatting sqref="C37:D37">
    <x:cfRule type="timePeriod" dxfId="1" priority="91" timePeriod="lastMonth">
      <x:formula>AND(MONTH(C37)=MONTH(EDATE(TODAY(),0-1)),YEAR(C37)=YEAR(EDATE(TODAY(),0-1)))</x:formula>
    </x:cfRule>
  </x:conditionalFormatting>
  <x:conditionalFormatting sqref="E37:F37">
    <x:cfRule type="timePeriod" dxfId="1" priority="101" timePeriod="lastMonth">
      <x:formula>AND(MONTH(E37)=MONTH(EDATE(TODAY(),0-1)),YEAR(E37)=YEAR(EDATE(TODAY(),0-1)))</x:formula>
    </x:cfRule>
    <x:cfRule type="expression" dxfId="0" priority="102">
      <x:formula>$B37="土"</x:formula>
    </x:cfRule>
    <x:cfRule type="expression" dxfId="0" priority="103">
      <x:formula>$B37="日"</x:formula>
    </x:cfRule>
  </x:conditionalFormatting>
  <x:conditionalFormatting sqref="E37:E37">
    <x:cfRule type="timePeriod" dxfId="1" priority="94" timePeriod="lastMonth">
      <x:formula>AND(MONTH(E37)=MONTH(EDATE(TODAY(),0-1)),YEAR(E37)=YEAR(EDATE(TODAY(),0-1)))</x:formula>
    </x:cfRule>
  </x:conditionalFormatting>
  <x:conditionalFormatting sqref="F37:F37">
    <x:cfRule type="timePeriod" dxfId="1" priority="107" timePeriod="lastMonth">
      <x:formula>AND(MONTH(F37)=MONTH(EDATE(TODAY(),0-1)),YEAR(F37)=YEAR(EDATE(TODAY(),0-1)))</x:formula>
    </x:cfRule>
    <x:cfRule type="expression" dxfId="0" priority="108">
      <x:formula>$B37="土"</x:formula>
    </x:cfRule>
    <x:cfRule type="expression" dxfId="0" priority="109">
      <x:formula>$B37="日"</x:formula>
    </x:cfRule>
    <x:cfRule type="timePeriod" dxfId="1" priority="93" timePeriod="lastMonth">
      <x:formula>AND(MONTH(F37)=MONTH(EDATE(TODAY(),0-1)),YEAR(F37)=YEAR(EDATE(TODAY(),0-1)))</x:formula>
    </x:cfRule>
    <x:cfRule type="timePeriod" dxfId="1" priority="92" timePeriod="lastMonth">
      <x:formula>AND(MONTH(F37)=MONTH(EDATE(TODAY(),0-1)),YEAR(F37)=YEAR(EDATE(TODAY(),0-1)))</x:formula>
    </x:cfRule>
  </x:conditionalFormatting>
  <x:conditionalFormatting sqref="G37:G37">
    <x:cfRule type="timePeriod" dxfId="1" priority="98" timePeriod="lastMonth">
      <x:formula>AND(MONTH(G37)=MONTH(EDATE(TODAY(),0-1)),YEAR(G37)=YEAR(EDATE(TODAY(),0-1)))</x:formula>
    </x:cfRule>
    <x:cfRule type="expression" dxfId="0" priority="99">
      <x:formula>$B37="土"</x:formula>
    </x:cfRule>
    <x:cfRule type="expression" dxfId="0" priority="100">
      <x:formula>$B37="日"</x:formula>
    </x:cfRule>
  </x:conditionalFormatting>
  <x:conditionalFormatting sqref="H37:I37">
    <x:cfRule type="expression" dxfId="0" priority="104">
      <x:formula>$B37="土"</x:formula>
    </x:cfRule>
    <x:cfRule type="expression" dxfId="0" priority="105">
      <x:formula>$B37="日"</x:formula>
    </x:cfRule>
    <x:cfRule type="timePeriod" dxfId="1" priority="106" timePeriod="lastMonth">
      <x:formula>AND(MONTH(H37)=MONTH(EDATE(TODAY(),0-1)),YEAR(H37)=YEAR(EDATE(TODAY(),0-1)))</x:formula>
    </x:cfRule>
  </x:conditionalFormatting>
  <x:conditionalFormatting sqref="J37:K37">
    <x:cfRule type="expression" dxfId="0" priority="95">
      <x:formula>$B37="土"</x:formula>
    </x:cfRule>
    <x:cfRule type="expression" dxfId="0" priority="96">
      <x:formula>$B37="日"</x:formula>
    </x:cfRule>
    <x:cfRule type="timePeriod" dxfId="1" priority="97" timePeriod="lastMonth">
      <x:formula>AND(MONTH(J37)=MONTH(EDATE(TODAY(),0-1)),YEAR(J37)=YEAR(EDATE(TODAY(),0-1)))</x:formula>
    </x:cfRule>
  </x:conditionalFormatting>
  <x:conditionalFormatting sqref="B19:B20">
    <x:cfRule type="timePeriod" dxfId="1" priority="253" timePeriod="lastMonth">
      <x:formula>AND(MONTH(B19)=MONTH(EDATE(TODAY(),0-1)),YEAR(B19)=YEAR(EDATE(TODAY(),0-1)))</x:formula>
    </x:cfRule>
  </x:conditionalFormatting>
  <x:conditionalFormatting sqref="B23:B24">
    <x:cfRule type="timePeriod" dxfId="1" priority="196" timePeriod="lastMonth">
      <x:formula>AND(MONTH(B23)=MONTH(EDATE(TODAY(),0-1)),YEAR(B23)=YEAR(EDATE(TODAY(),0-1)))</x:formula>
    </x:cfRule>
  </x:conditionalFormatting>
  <x:conditionalFormatting sqref="B26:B27">
    <x:cfRule type="timePeriod" dxfId="1" priority="235" timePeriod="lastMonth">
      <x:formula>AND(MONTH(B26)=MONTH(EDATE(TODAY(),0-1)),YEAR(B26)=YEAR(EDATE(TODAY(),0-1)))</x:formula>
    </x:cfRule>
  </x:conditionalFormatting>
  <x:conditionalFormatting sqref="B30:B31">
    <x:cfRule type="timePeriod" dxfId="1" priority="153" timePeriod="lastMonth">
      <x:formula>AND(MONTH(B30)=MONTH(EDATE(TODAY(),0-1)),YEAR(B30)=YEAR(EDATE(TODAY(),0-1)))</x:formula>
    </x:cfRule>
  </x:conditionalFormatting>
  <x:conditionalFormatting sqref="B33:B34">
    <x:cfRule type="timePeriod" dxfId="1" priority="217" timePeriod="lastMonth">
      <x:formula>AND(MONTH(B33)=MONTH(EDATE(TODAY(),0-1)),YEAR(B33)=YEAR(EDATE(TODAY(),0-1)))</x:formula>
    </x:cfRule>
  </x:conditionalFormatting>
  <x:conditionalFormatting sqref="E12:E14">
    <x:cfRule type="timePeriod" dxfId="1" priority="82" timePeriod="lastMonth">
      <x:formula>AND(MONTH(E12)=MONTH(EDATE(TODAY(),0-1)),YEAR(E12)=YEAR(EDATE(TODAY(),0-1)))</x:formula>
    </x:cfRule>
    <x:cfRule type="expression" dxfId="0" priority="83">
      <x:formula>$B12="土"</x:formula>
    </x:cfRule>
    <x:cfRule type="expression" dxfId="0" priority="84">
      <x:formula>$B12="日"</x:formula>
    </x:cfRule>
    <x:cfRule type="expression" dxfId="0" priority="86">
      <x:formula>$B12="土"</x:formula>
    </x:cfRule>
    <x:cfRule type="expression" dxfId="0" priority="87">
      <x:formula>$B12="日"</x:formula>
    </x:cfRule>
    <x:cfRule type="timePeriod" dxfId="1" priority="85" timePeriod="lastMonth">
      <x:formula>AND(MONTH(E12)=MONTH(EDATE(TODAY(),0-1)),YEAR(E12)=YEAR(EDATE(TODAY(),0-1)))</x:formula>
    </x:cfRule>
  </x:conditionalFormatting>
  <x:conditionalFormatting sqref="E16:E17">
    <x:cfRule type="timePeriod" dxfId="1" priority="284" timePeriod="lastMonth">
      <x:formula>AND(MONTH(E16)=MONTH(EDATE(TODAY(),0-1)),YEAR(E16)=YEAR(EDATE(TODAY(),0-1)))</x:formula>
    </x:cfRule>
    <x:cfRule type="expression" dxfId="0" priority="285">
      <x:formula>$B16="土"</x:formula>
    </x:cfRule>
    <x:cfRule type="expression" dxfId="0" priority="286">
      <x:formula>$B16="日"</x:formula>
    </x:cfRule>
  </x:conditionalFormatting>
  <x:conditionalFormatting sqref="E19:E21">
    <x:cfRule type="timePeriod" dxfId="1" priority="55" timePeriod="lastMonth">
      <x:formula>AND(MONTH(E19)=MONTH(EDATE(TODAY(),0-1)),YEAR(E19)=YEAR(EDATE(TODAY(),0-1)))</x:formula>
    </x:cfRule>
    <x:cfRule type="expression" dxfId="0" priority="56">
      <x:formula>$B19="土"</x:formula>
    </x:cfRule>
    <x:cfRule type="expression" dxfId="0" priority="57">
      <x:formula>$B19="日"</x:formula>
    </x:cfRule>
    <x:cfRule type="expression" dxfId="0" priority="59">
      <x:formula>$B19="土"</x:formula>
    </x:cfRule>
    <x:cfRule type="expression" dxfId="0" priority="60">
      <x:formula>$B19="日"</x:formula>
    </x:cfRule>
    <x:cfRule type="timePeriod" dxfId="1" priority="58" timePeriod="lastMonth">
      <x:formula>AND(MONTH(E19)=MONTH(EDATE(TODAY(),0-1)),YEAR(E19)=YEAR(EDATE(TODAY(),0-1)))</x:formula>
    </x:cfRule>
  </x:conditionalFormatting>
  <x:conditionalFormatting sqref="E23:E24">
    <x:cfRule type="timePeriod" dxfId="1" priority="175" timePeriod="lastMonth">
      <x:formula>AND(MONTH(E23)=MONTH(EDATE(TODAY(),0-1)),YEAR(E23)=YEAR(EDATE(TODAY(),0-1)))</x:formula>
    </x:cfRule>
    <x:cfRule type="expression" dxfId="0" priority="176">
      <x:formula>$B23="土"</x:formula>
    </x:cfRule>
    <x:cfRule type="expression" dxfId="0" priority="177">
      <x:formula>$B23="日"</x:formula>
    </x:cfRule>
    <x:cfRule type="timePeriod" dxfId="1" priority="169" timePeriod="lastMonth">
      <x:formula>AND(MONTH(E23)=MONTH(EDATE(TODAY(),0-1)),YEAR(E23)=YEAR(EDATE(TODAY(),0-1)))</x:formula>
    </x:cfRule>
    <x:cfRule type="expression" dxfId="0" priority="170">
      <x:formula>$B23="土"</x:formula>
    </x:cfRule>
    <x:cfRule type="expression" dxfId="0" priority="171">
      <x:formula>$B23="日"</x:formula>
    </x:cfRule>
    <x:cfRule type="timePeriod" dxfId="1" priority="166" timePeriod="lastMonth">
      <x:formula>AND(MONTH(E23)=MONTH(EDATE(TODAY(),0-1)),YEAR(E23)=YEAR(EDATE(TODAY(),0-1)))</x:formula>
    </x:cfRule>
    <x:cfRule type="expression" dxfId="0" priority="167">
      <x:formula>$B23="土"</x:formula>
    </x:cfRule>
    <x:cfRule type="expression" dxfId="0" priority="168">
      <x:formula>$B23="日"</x:formula>
    </x:cfRule>
  </x:conditionalFormatting>
  <x:conditionalFormatting sqref="E26:E28">
    <x:cfRule type="timePeriod" dxfId="1" priority="28" timePeriod="lastMonth">
      <x:formula>AND(MONTH(E26)=MONTH(EDATE(TODAY(),0-1)),YEAR(E26)=YEAR(EDATE(TODAY(),0-1)))</x:formula>
    </x:cfRule>
    <x:cfRule type="expression" dxfId="0" priority="29">
      <x:formula>$B26="土"</x:formula>
    </x:cfRule>
    <x:cfRule type="expression" dxfId="0" priority="30">
      <x:formula>$B26="日"</x:formula>
    </x:cfRule>
    <x:cfRule type="expression" dxfId="0" priority="32">
      <x:formula>$B26="土"</x:formula>
    </x:cfRule>
    <x:cfRule type="expression" dxfId="0" priority="33">
      <x:formula>$B26="日"</x:formula>
    </x:cfRule>
    <x:cfRule type="timePeriod" dxfId="1" priority="31" timePeriod="lastMonth">
      <x:formula>AND(MONTH(E26)=MONTH(EDATE(TODAY(),0-1)),YEAR(E26)=YEAR(EDATE(TODAY(),0-1)))</x:formula>
    </x:cfRule>
  </x:conditionalFormatting>
  <x:conditionalFormatting sqref="E30:E31">
    <x:cfRule type="timePeriod" dxfId="1" priority="132" timePeriod="lastMonth">
      <x:formula>AND(MONTH(E30)=MONTH(EDATE(TODAY(),0-1)),YEAR(E30)=YEAR(EDATE(TODAY(),0-1)))</x:formula>
    </x:cfRule>
    <x:cfRule type="expression" dxfId="0" priority="133">
      <x:formula>$B30="土"</x:formula>
    </x:cfRule>
    <x:cfRule type="expression" dxfId="0" priority="134">
      <x:formula>$B30="日"</x:formula>
    </x:cfRule>
    <x:cfRule type="timePeriod" dxfId="1" priority="126" timePeriod="lastMonth">
      <x:formula>AND(MONTH(E30)=MONTH(EDATE(TODAY(),0-1)),YEAR(E30)=YEAR(EDATE(TODAY(),0-1)))</x:formula>
    </x:cfRule>
    <x:cfRule type="expression" dxfId="0" priority="127">
      <x:formula>$B30="土"</x:formula>
    </x:cfRule>
    <x:cfRule type="expression" dxfId="0" priority="128">
      <x:formula>$B30="日"</x:formula>
    </x:cfRule>
    <x:cfRule type="timePeriod" dxfId="1" priority="123" timePeriod="lastMonth">
      <x:formula>AND(MONTH(E30)=MONTH(EDATE(TODAY(),0-1)),YEAR(E30)=YEAR(EDATE(TODAY(),0-1)))</x:formula>
    </x:cfRule>
    <x:cfRule type="expression" dxfId="0" priority="124">
      <x:formula>$B30="土"</x:formula>
    </x:cfRule>
    <x:cfRule type="expression" dxfId="0" priority="125">
      <x:formula>$B30="日"</x:formula>
    </x:cfRule>
  </x:conditionalFormatting>
  <x:conditionalFormatting sqref="E33:E35">
    <x:cfRule type="timePeriod" dxfId="1" priority="1" timePeriod="lastMonth">
      <x:formula>AND(MONTH(E33)=MONTH(EDATE(TODAY(),0-1)),YEAR(E33)=YEAR(EDATE(TODAY(),0-1)))</x:formula>
    </x:cfRule>
    <x:cfRule type="expression" dxfId="0" priority="2">
      <x:formula>$B33="土"</x:formula>
    </x:cfRule>
    <x:cfRule type="expression" dxfId="0" priority="3">
      <x:formula>$B33="日"</x:formula>
    </x:cfRule>
    <x:cfRule type="expression" dxfId="0" priority="5">
      <x:formula>$B33="土"</x:formula>
    </x:cfRule>
    <x:cfRule type="expression" dxfId="0" priority="6">
      <x:formula>$B33="日"</x:formula>
    </x:cfRule>
    <x:cfRule type="timePeriod" dxfId="1" priority="4" timePeriod="lastMonth">
      <x:formula>AND(MONTH(E33)=MONTH(EDATE(TODAY(),0-1)),YEAR(E33)=YEAR(EDATE(TODAY(),0-1)))</x:formula>
    </x:cfRule>
  </x:conditionalFormatting>
  <x:conditionalFormatting sqref="F11:F15">
    <x:cfRule type="timePeriod" dxfId="1" priority="275" timePeriod="lastMonth">
      <x:formula>AND(MONTH(F11)=MONTH(EDATE(TODAY(),0-1)),YEAR(F11)=YEAR(EDATE(TODAY(),0-1)))</x:formula>
    </x:cfRule>
    <x:cfRule type="expression" dxfId="0" priority="276">
      <x:formula>$B11="土"</x:formula>
    </x:cfRule>
    <x:cfRule type="expression" dxfId="0" priority="277">
      <x:formula>$B11="日"</x:formula>
    </x:cfRule>
  </x:conditionalFormatting>
  <x:conditionalFormatting sqref="F18:F22">
    <x:cfRule type="timePeriod" dxfId="1" priority="260" timePeriod="lastMonth">
      <x:formula>AND(MONTH(F18)=MONTH(EDATE(TODAY(),0-1)),YEAR(F18)=YEAR(EDATE(TODAY(),0-1)))</x:formula>
    </x:cfRule>
    <x:cfRule type="expression" dxfId="0" priority="261">
      <x:formula>$B18="土"</x:formula>
    </x:cfRule>
    <x:cfRule type="expression" dxfId="0" priority="262">
      <x:formula>$B18="日"</x:formula>
    </x:cfRule>
  </x:conditionalFormatting>
  <x:conditionalFormatting sqref="F23:F24">
    <x:cfRule type="timePeriod" dxfId="1" priority="163" timePeriod="lastMonth">
      <x:formula>AND(MONTH(F23)=MONTH(EDATE(TODAY(),0-1)),YEAR(F23)=YEAR(EDATE(TODAY(),0-1)))</x:formula>
    </x:cfRule>
    <x:cfRule type="expression" dxfId="0" priority="164">
      <x:formula>$B23="土"</x:formula>
    </x:cfRule>
    <x:cfRule type="expression" dxfId="0" priority="165">
      <x:formula>$B23="日"</x:formula>
    </x:cfRule>
    <x:cfRule type="timePeriod" dxfId="1" priority="160" timePeriod="lastMonth">
      <x:formula>AND(MONTH(F23)=MONTH(EDATE(TODAY(),0-1)),YEAR(F23)=YEAR(EDATE(TODAY(),0-1)))</x:formula>
    </x:cfRule>
    <x:cfRule type="expression" dxfId="0" priority="161">
      <x:formula>$B23="土"</x:formula>
    </x:cfRule>
    <x:cfRule type="expression" dxfId="0" priority="162">
      <x:formula>$B23="日"</x:formula>
    </x:cfRule>
  </x:conditionalFormatting>
  <x:conditionalFormatting sqref="F25:F29">
    <x:cfRule type="expression" dxfId="0" priority="258">
      <x:formula>$B25="土"</x:formula>
    </x:cfRule>
    <x:cfRule type="expression" dxfId="0" priority="259">
      <x:formula>$B25="日"</x:formula>
    </x:cfRule>
    <x:cfRule type="timePeriod" dxfId="1" priority="257" timePeriod="lastMonth">
      <x:formula>AND(MONTH(F25)=MONTH(EDATE(TODAY(),0-1)),YEAR(F25)=YEAR(EDATE(TODAY(),0-1)))</x:formula>
    </x:cfRule>
  </x:conditionalFormatting>
  <x:conditionalFormatting sqref="F30:F31">
    <x:cfRule type="timePeriod" dxfId="1" priority="120" timePeriod="lastMonth">
      <x:formula>AND(MONTH(F30)=MONTH(EDATE(TODAY(),0-1)),YEAR(F30)=YEAR(EDATE(TODAY(),0-1)))</x:formula>
    </x:cfRule>
    <x:cfRule type="expression" dxfId="0" priority="121">
      <x:formula>$B30="土"</x:formula>
    </x:cfRule>
    <x:cfRule type="expression" dxfId="0" priority="122">
      <x:formula>$B30="日"</x:formula>
    </x:cfRule>
    <x:cfRule type="timePeriod" dxfId="1" priority="117" timePeriod="lastMonth">
      <x:formula>AND(MONTH(F30)=MONTH(EDATE(TODAY(),0-1)),YEAR(F30)=YEAR(EDATE(TODAY(),0-1)))</x:formula>
    </x:cfRule>
    <x:cfRule type="expression" dxfId="0" priority="118">
      <x:formula>$B30="土"</x:formula>
    </x:cfRule>
    <x:cfRule type="expression" dxfId="0" priority="119">
      <x:formula>$B30="日"</x:formula>
    </x:cfRule>
  </x:conditionalFormatting>
  <x:conditionalFormatting sqref="F32:F36">
    <x:cfRule type="timePeriod" dxfId="1" priority="254" timePeriod="lastMonth">
      <x:formula>AND(MONTH(F32)=MONTH(EDATE(TODAY(),0-1)),YEAR(F32)=YEAR(EDATE(TODAY(),0-1)))</x:formula>
    </x:cfRule>
    <x:cfRule type="expression" dxfId="0" priority="255">
      <x:formula>$B32="土"</x:formula>
    </x:cfRule>
    <x:cfRule type="expression" dxfId="0" priority="256">
      <x:formula>$B32="日"</x:formula>
    </x:cfRule>
  </x:conditionalFormatting>
  <x:conditionalFormatting sqref="G21:G22">
    <x:cfRule type="timePeriod" dxfId="1" priority="322" timePeriod="lastMonth">
      <x:formula>AND(MONTH(G21)=MONTH(EDATE(TODAY(),0-1)),YEAR(G21)=YEAR(EDATE(TODAY(),0-1)))</x:formula>
    </x:cfRule>
    <x:cfRule type="expression" dxfId="0" priority="323">
      <x:formula>$B21="土"</x:formula>
    </x:cfRule>
    <x:cfRule type="expression" dxfId="0" priority="324">
      <x:formula>$B21="日"</x:formula>
    </x:cfRule>
  </x:conditionalFormatting>
  <x:conditionalFormatting sqref="A10:B18 A21:B22">
    <x:cfRule type="expression" dxfId="0" priority="405">
      <x:formula>$B10="土"</x:formula>
    </x:cfRule>
    <x:cfRule type="expression" dxfId="0" priority="406">
      <x:formula>$B10="日"</x:formula>
    </x:cfRule>
  </x:conditionalFormatting>
  <x:conditionalFormatting sqref="B10:B18 B21:B22 B28:B29 B35:B36 B25:B25 B32:B32">
    <x:cfRule type="timePeriod" dxfId="1" priority="407" timePeriod="lastMonth">
      <x:formula>AND(MONTH(B10)=MONTH(EDATE(TODAY(),0-1)),YEAR(B10)=YEAR(EDATE(TODAY(),0-1)))</x:formula>
    </x:cfRule>
  </x:conditionalFormatting>
  <x:conditionalFormatting sqref="C10:E11 E15:E17">
    <x:cfRule type="timePeriod" dxfId="1" priority="296" timePeriod="lastMonth">
      <x:formula>AND(MONTH(C10)=MONTH(EDATE(TODAY(),0-1)),YEAR(C10)=YEAR(EDATE(TODAY(),0-1)))</x:formula>
    </x:cfRule>
    <x:cfRule type="expression" dxfId="0" priority="297">
      <x:formula>$B10="土"</x:formula>
    </x:cfRule>
    <x:cfRule type="expression" dxfId="0" priority="298">
      <x:formula>$B10="日"</x:formula>
    </x:cfRule>
  </x:conditionalFormatting>
  <x:conditionalFormatting sqref="E10:E11 E15:E17">
    <x:cfRule type="timePeriod" dxfId="1" priority="287" timePeriod="lastMonth">
      <x:formula>AND(MONTH(E10)=MONTH(EDATE(TODAY(),0-1)),YEAR(E10)=YEAR(EDATE(TODAY(),0-1)))</x:formula>
    </x:cfRule>
    <x:cfRule type="expression" dxfId="0" priority="288">
      <x:formula>$B10="土"</x:formula>
    </x:cfRule>
    <x:cfRule type="expression" dxfId="0" priority="289">
      <x:formula>$B10="日"</x:formula>
    </x:cfRule>
  </x:conditionalFormatting>
  <x:conditionalFormatting sqref="F10:F22 F25:F29 F32:F36">
    <x:cfRule type="timePeriod" dxfId="1" priority="278" timePeriod="lastMonth">
      <x:formula>AND(MONTH(F10)=MONTH(EDATE(TODAY(),0-1)),YEAR(F10)=YEAR(EDATE(TODAY(),0-1)))</x:formula>
    </x:cfRule>
    <x:cfRule type="expression" dxfId="0" priority="279">
      <x:formula>$B10="土"</x:formula>
    </x:cfRule>
    <x:cfRule type="expression" dxfId="0" priority="280">
      <x:formula>$B10="日"</x:formula>
    </x:cfRule>
    <x:cfRule type="timePeriod" dxfId="1" priority="266" timePeriod="lastMonth">
      <x:formula>AND(MONTH(F10)=MONTH(EDATE(TODAY(),0-1)),YEAR(F10)=YEAR(EDATE(TODAY(),0-1)))</x:formula>
    </x:cfRule>
    <x:cfRule type="expression" dxfId="0" priority="267">
      <x:formula>$B10="土"</x:formula>
    </x:cfRule>
    <x:cfRule type="expression" dxfId="0" priority="268">
      <x:formula>$B10="日"</x:formula>
    </x:cfRule>
  </x:conditionalFormatting>
  <x:conditionalFormatting sqref="G11:K11 G18:I18 G25:K25 G32:K32 K18:K18">
    <x:cfRule type="timePeriod" dxfId="1" priority="395" timePeriod="lastMonth">
      <x:formula>AND(MONTH(G11)=MONTH(EDATE(TODAY(),0-1)),YEAR(G11)=YEAR(EDATE(TODAY(),0-1)))</x:formula>
    </x:cfRule>
  </x:conditionalFormatting>
  <x:conditionalFormatting sqref="K11:K11 K18:K18 K25:K25 K32:K32">
    <x:cfRule type="expression" dxfId="0" priority="396">
      <x:formula>WEEKDAY(K$10)=L$4</x:formula>
    </x:cfRule>
  </x:conditionalFormatting>
  <x:conditionalFormatting sqref="C12:E14">
    <x:cfRule type="timePeriod" dxfId="1" priority="88" timePeriod="lastMonth">
      <x:formula>AND(MONTH(C12)=MONTH(EDATE(TODAY(),0-1)),YEAR(C12)=YEAR(EDATE(TODAY(),0-1)))</x:formula>
    </x:cfRule>
    <x:cfRule type="expression" dxfId="0" priority="89">
      <x:formula>$B12="土"</x:formula>
    </x:cfRule>
    <x:cfRule type="expression" dxfId="0" priority="90">
      <x:formula>$B12="日"</x:formula>
    </x:cfRule>
  </x:conditionalFormatting>
  <x:conditionalFormatting sqref="H17:J17 H13:I13 H15:I16">
    <x:cfRule type="expression" dxfId="0" priority="384">
      <x:formula>$B13="土"</x:formula>
    </x:cfRule>
    <x:cfRule type="expression" dxfId="0" priority="385">
      <x:formula>$B13="日"</x:formula>
    </x:cfRule>
  </x:conditionalFormatting>
  <x:conditionalFormatting sqref="H17:K17 H13:I13 H15:I16">
    <x:cfRule type="timePeriod" dxfId="1" priority="386" timePeriod="lastMonth">
      <x:formula>AND(MONTH(H13)=MONTH(EDATE(TODAY(),0-1)),YEAR(H13)=YEAR(EDATE(TODAY(),0-1)))</x:formula>
    </x:cfRule>
  </x:conditionalFormatting>
  <x:conditionalFormatting sqref="C15:D17">
    <x:cfRule type="timePeriod" dxfId="1" priority="197" timePeriod="lastMonth">
      <x:formula>AND(MONTH(C15)=MONTH(EDATE(TODAY(),0-1)),YEAR(C15)=YEAR(EDATE(TODAY(),0-1)))</x:formula>
    </x:cfRule>
    <x:cfRule type="expression" dxfId="0" priority="198">
      <x:formula>$B15="土"</x:formula>
    </x:cfRule>
    <x:cfRule type="expression" dxfId="0" priority="199">
      <x:formula>$B15="日"</x:formula>
    </x:cfRule>
  </x:conditionalFormatting>
  <x:conditionalFormatting sqref="J15:K16">
    <x:cfRule type="expression" dxfId="0" priority="308">
      <x:formula>$B15="土"</x:formula>
    </x:cfRule>
    <x:cfRule type="expression" dxfId="0" priority="309">
      <x:formula>$B15="日"</x:formula>
    </x:cfRule>
    <x:cfRule type="timePeriod" dxfId="1" priority="310" timePeriod="lastMonth">
      <x:formula>AND(MONTH(J15)=MONTH(EDATE(TODAY(),0-1)),YEAR(J15)=YEAR(EDATE(TODAY(),0-1)))</x:formula>
    </x:cfRule>
  </x:conditionalFormatting>
  <x:conditionalFormatting sqref="F16:F16 E37:E37">
    <x:cfRule type="timePeriod" dxfId="1" priority="388" timePeriod="lastMonth">
      <x:formula>AND(MONTH(E16)=MONTH(EDATE(TODAY(),0-1)),YEAR(E16)=YEAR(EDATE(TODAY(),0-1)))</x:formula>
    </x:cfRule>
    <x:cfRule type="expression" dxfId="0" priority="389">
      <x:formula>$B16="土"</x:formula>
    </x:cfRule>
    <x:cfRule type="expression" dxfId="0" priority="390">
      <x:formula>$B16="日"</x:formula>
    </x:cfRule>
  </x:conditionalFormatting>
  <x:conditionalFormatting sqref="C18:E18 E22:E22">
    <x:cfRule type="timePeriod" dxfId="1" priority="76" timePeriod="lastMonth">
      <x:formula>AND(MONTH(C18)=MONTH(EDATE(TODAY(),0-1)),YEAR(C18)=YEAR(EDATE(TODAY(),0-1)))</x:formula>
    </x:cfRule>
    <x:cfRule type="expression" dxfId="0" priority="77">
      <x:formula>$B18="土"</x:formula>
    </x:cfRule>
    <x:cfRule type="expression" dxfId="0" priority="78">
      <x:formula>$B18="日"</x:formula>
    </x:cfRule>
  </x:conditionalFormatting>
  <x:conditionalFormatting sqref="E18:E18 E22:E22">
    <x:cfRule type="timePeriod" dxfId="1" priority="70" timePeriod="lastMonth">
      <x:formula>AND(MONTH(E18)=MONTH(EDATE(TODAY(),0-1)),YEAR(E18)=YEAR(EDATE(TODAY(),0-1)))</x:formula>
    </x:cfRule>
    <x:cfRule type="expression" dxfId="0" priority="71">
      <x:formula>$B18="土"</x:formula>
    </x:cfRule>
    <x:cfRule type="expression" dxfId="0" priority="72">
      <x:formula>$B18="日"</x:formula>
    </x:cfRule>
  </x:conditionalFormatting>
  <x:conditionalFormatting sqref="A19:B20">
    <x:cfRule type="expression" dxfId="0" priority="251">
      <x:formula>$B19="土"</x:formula>
    </x:cfRule>
    <x:cfRule type="expression" dxfId="0" priority="252">
      <x:formula>$B19="日"</x:formula>
    </x:cfRule>
  </x:conditionalFormatting>
  <x:conditionalFormatting sqref="C19:E21">
    <x:cfRule type="timePeriod" dxfId="1" priority="61" timePeriod="lastMonth">
      <x:formula>AND(MONTH(C19)=MONTH(EDATE(TODAY(),0-1)),YEAR(C19)=YEAR(EDATE(TODAY(),0-1)))</x:formula>
    </x:cfRule>
    <x:cfRule type="expression" dxfId="0" priority="62">
      <x:formula>$B19="土"</x:formula>
    </x:cfRule>
    <x:cfRule type="expression" dxfId="0" priority="63">
      <x:formula>$B19="日"</x:formula>
    </x:cfRule>
  </x:conditionalFormatting>
  <x:conditionalFormatting sqref="H21:I22">
    <x:cfRule type="expression" dxfId="0" priority="381">
      <x:formula>$B21="土"</x:formula>
    </x:cfRule>
    <x:cfRule type="expression" dxfId="0" priority="382">
      <x:formula>$B21="日"</x:formula>
    </x:cfRule>
    <x:cfRule type="timePeriod" dxfId="1" priority="383" timePeriod="lastMonth">
      <x:formula>AND(MONTH(H21)=MONTH(EDATE(TODAY(),0-1)),YEAR(H21)=YEAR(EDATE(TODAY(),0-1)))</x:formula>
    </x:cfRule>
  </x:conditionalFormatting>
  <x:conditionalFormatting sqref="A23:B24">
    <x:cfRule type="expression" dxfId="0" priority="194">
      <x:formula>$B23="土"</x:formula>
    </x:cfRule>
    <x:cfRule type="expression" dxfId="0" priority="195">
      <x:formula>$B23="日"</x:formula>
    </x:cfRule>
  </x:conditionalFormatting>
  <x:conditionalFormatting sqref="C23:D24">
    <x:cfRule type="timePeriod" dxfId="1" priority="154" timePeriod="lastMonth">
      <x:formula>AND(MONTH(C23)=MONTH(EDATE(TODAY(),0-1)),YEAR(C23)=YEAR(EDATE(TODAY(),0-1)))</x:formula>
    </x:cfRule>
    <x:cfRule type="expression" dxfId="0" priority="155">
      <x:formula>$B23="土"</x:formula>
    </x:cfRule>
    <x:cfRule type="expression" dxfId="0" priority="156">
      <x:formula>$B23="日"</x:formula>
    </x:cfRule>
  </x:conditionalFormatting>
  <x:conditionalFormatting sqref="H24:J24 H23:I23">
    <x:cfRule type="expression" dxfId="0" priority="187">
      <x:formula>$B23="土"</x:formula>
    </x:cfRule>
    <x:cfRule type="expression" dxfId="0" priority="188">
      <x:formula>$B23="日"</x:formula>
    </x:cfRule>
  </x:conditionalFormatting>
  <x:conditionalFormatting sqref="H24:K24 H23:I23">
    <x:cfRule type="timePeriod" dxfId="1" priority="189" timePeriod="lastMonth">
      <x:formula>AND(MONTH(H23)=MONTH(EDATE(TODAY(),0-1)),YEAR(H23)=YEAR(EDATE(TODAY(),0-1)))</x:formula>
    </x:cfRule>
  </x:conditionalFormatting>
  <x:conditionalFormatting sqref="A25:B25 G25:J25">
    <x:cfRule type="expression" dxfId="0" priority="399">
      <x:formula>$B25="土"</x:formula>
    </x:cfRule>
    <x:cfRule type="expression" dxfId="0" priority="400">
      <x:formula>$B25="日"</x:formula>
    </x:cfRule>
  </x:conditionalFormatting>
  <x:conditionalFormatting sqref="C25:E25 E29:E29">
    <x:cfRule type="timePeriod" dxfId="1" priority="49" timePeriod="lastMonth">
      <x:formula>AND(MONTH(C25)=MONTH(EDATE(TODAY(),0-1)),YEAR(C25)=YEAR(EDATE(TODAY(),0-1)))</x:formula>
    </x:cfRule>
    <x:cfRule type="expression" dxfId="0" priority="50">
      <x:formula>$B25="土"</x:formula>
    </x:cfRule>
    <x:cfRule type="expression" dxfId="0" priority="51">
      <x:formula>$B25="日"</x:formula>
    </x:cfRule>
  </x:conditionalFormatting>
  <x:conditionalFormatting sqref="E25:E25 E29:E29">
    <x:cfRule type="timePeriod" dxfId="1" priority="43" timePeriod="lastMonth">
      <x:formula>AND(MONTH(E25)=MONTH(EDATE(TODAY(),0-1)),YEAR(E25)=YEAR(EDATE(TODAY(),0-1)))</x:formula>
    </x:cfRule>
    <x:cfRule type="expression" dxfId="0" priority="44">
      <x:formula>$B25="土"</x:formula>
    </x:cfRule>
    <x:cfRule type="expression" dxfId="0" priority="45">
      <x:formula>$B25="日"</x:formula>
    </x:cfRule>
  </x:conditionalFormatting>
  <x:conditionalFormatting sqref="A26:B27">
    <x:cfRule type="expression" dxfId="0" priority="233">
      <x:formula>$B26="土"</x:formula>
    </x:cfRule>
    <x:cfRule type="expression" dxfId="0" priority="234">
      <x:formula>$B26="日"</x:formula>
    </x:cfRule>
  </x:conditionalFormatting>
  <x:conditionalFormatting sqref="C26:E28">
    <x:cfRule type="timePeriod" dxfId="1" priority="34" timePeriod="lastMonth">
      <x:formula>AND(MONTH(C26)=MONTH(EDATE(TODAY(),0-1)),YEAR(C26)=YEAR(EDATE(TODAY(),0-1)))</x:formula>
    </x:cfRule>
    <x:cfRule type="expression" dxfId="0" priority="35">
      <x:formula>$B26="土"</x:formula>
    </x:cfRule>
    <x:cfRule type="expression" dxfId="0" priority="36">
      <x:formula>$B26="日"</x:formula>
    </x:cfRule>
  </x:conditionalFormatting>
  <x:conditionalFormatting sqref="A28:B29 A37:F37">
    <x:cfRule type="expression" dxfId="0" priority="379">
      <x:formula>$B28="土"</x:formula>
    </x:cfRule>
    <x:cfRule type="expression" dxfId="0" priority="380">
      <x:formula>$B28="日"</x:formula>
    </x:cfRule>
  </x:conditionalFormatting>
  <x:conditionalFormatting sqref="H28:I29">
    <x:cfRule type="expression" dxfId="0" priority="375">
      <x:formula>$B28="土"</x:formula>
    </x:cfRule>
    <x:cfRule type="expression" dxfId="0" priority="376">
      <x:formula>$B28="日"</x:formula>
    </x:cfRule>
  </x:conditionalFormatting>
  <x:conditionalFormatting sqref="H28:I29 K28:K28">
    <x:cfRule type="timePeriod" dxfId="1" priority="377" timePeriod="lastMonth">
      <x:formula>AND(MONTH(H28)=MONTH(EDATE(TODAY(),0-1)),YEAR(H28)=YEAR(EDATE(TODAY(),0-1)))</x:formula>
    </x:cfRule>
  </x:conditionalFormatting>
  <x:conditionalFormatting sqref="A30:B31">
    <x:cfRule type="expression" dxfId="0" priority="151">
      <x:formula>$B30="土"</x:formula>
    </x:cfRule>
    <x:cfRule type="expression" dxfId="0" priority="152">
      <x:formula>$B30="日"</x:formula>
    </x:cfRule>
  </x:conditionalFormatting>
  <x:conditionalFormatting sqref="C30:D31">
    <x:cfRule type="timePeriod" dxfId="1" priority="111" timePeriod="lastMonth">
      <x:formula>AND(MONTH(C30)=MONTH(EDATE(TODAY(),0-1)),YEAR(C30)=YEAR(EDATE(TODAY(),0-1)))</x:formula>
    </x:cfRule>
    <x:cfRule type="expression" dxfId="0" priority="112">
      <x:formula>$B30="土"</x:formula>
    </x:cfRule>
    <x:cfRule type="expression" dxfId="0" priority="113">
      <x:formula>$B30="日"</x:formula>
    </x:cfRule>
  </x:conditionalFormatting>
  <x:conditionalFormatting sqref="H31:J31 H30:I30">
    <x:cfRule type="expression" dxfId="0" priority="144">
      <x:formula>$B30="土"</x:formula>
    </x:cfRule>
    <x:cfRule type="expression" dxfId="0" priority="145">
      <x:formula>$B30="日"</x:formula>
    </x:cfRule>
  </x:conditionalFormatting>
  <x:conditionalFormatting sqref="H31:K31 H30:I30">
    <x:cfRule type="timePeriod" dxfId="1" priority="146" timePeriod="lastMonth">
      <x:formula>AND(MONTH(H30)=MONTH(EDATE(TODAY(),0-1)),YEAR(H30)=YEAR(EDATE(TODAY(),0-1)))</x:formula>
    </x:cfRule>
  </x:conditionalFormatting>
  <x:conditionalFormatting sqref="A32:B32 G32:J32">
    <x:cfRule type="expression" dxfId="0" priority="397">
      <x:formula>$B32="土"</x:formula>
    </x:cfRule>
    <x:cfRule type="expression" dxfId="0" priority="398">
      <x:formula>$B32="日"</x:formula>
    </x:cfRule>
  </x:conditionalFormatting>
  <x:conditionalFormatting sqref="C32:E32 E36:E36">
    <x:cfRule type="timePeriod" dxfId="1" priority="22" timePeriod="lastMonth">
      <x:formula>AND(MONTH(C32)=MONTH(EDATE(TODAY(),0-1)),YEAR(C32)=YEAR(EDATE(TODAY(),0-1)))</x:formula>
    </x:cfRule>
    <x:cfRule type="expression" dxfId="0" priority="23">
      <x:formula>$B32="土"</x:formula>
    </x:cfRule>
    <x:cfRule type="expression" dxfId="0" priority="24">
      <x:formula>$B32="日"</x:formula>
    </x:cfRule>
  </x:conditionalFormatting>
  <x:conditionalFormatting sqref="E32:E32 E36:E36">
    <x:cfRule type="timePeriod" dxfId="1" priority="16" timePeriod="lastMonth">
      <x:formula>AND(MONTH(E32)=MONTH(EDATE(TODAY(),0-1)),YEAR(E32)=YEAR(EDATE(TODAY(),0-1)))</x:formula>
    </x:cfRule>
    <x:cfRule type="expression" dxfId="0" priority="17">
      <x:formula>$B32="土"</x:formula>
    </x:cfRule>
    <x:cfRule type="expression" dxfId="0" priority="18">
      <x:formula>$B32="日"</x:formula>
    </x:cfRule>
  </x:conditionalFormatting>
  <x:conditionalFormatting sqref="A33:B34">
    <x:cfRule type="expression" dxfId="0" priority="215">
      <x:formula>$B33="土"</x:formula>
    </x:cfRule>
    <x:cfRule type="expression" dxfId="0" priority="216">
      <x:formula>$B33="日"</x:formula>
    </x:cfRule>
  </x:conditionalFormatting>
  <x:conditionalFormatting sqref="C33:E35">
    <x:cfRule type="timePeriod" dxfId="1" priority="7" timePeriod="lastMonth">
      <x:formula>AND(MONTH(C33)=MONTH(EDATE(TODAY(),0-1)),YEAR(C33)=YEAR(EDATE(TODAY(),0-1)))</x:formula>
    </x:cfRule>
    <x:cfRule type="expression" dxfId="0" priority="8">
      <x:formula>$B33="土"</x:formula>
    </x:cfRule>
    <x:cfRule type="expression" dxfId="0" priority="9">
      <x:formula>$B33="日"</x:formula>
    </x:cfRule>
  </x:conditionalFormatting>
  <x:conditionalFormatting sqref="A35:B36">
    <x:cfRule type="expression" dxfId="0" priority="373">
      <x:formula>$B35="土"</x:formula>
    </x:cfRule>
    <x:cfRule type="expression" dxfId="0" priority="374">
      <x:formula>$B35="日"</x:formula>
    </x:cfRule>
  </x:conditionalFormatting>
  <x:conditionalFormatting sqref="H35:I36">
    <x:cfRule type="expression" dxfId="0" priority="369">
      <x:formula>$B35="土"</x:formula>
    </x:cfRule>
    <x:cfRule type="expression" dxfId="0" priority="370">
      <x:formula>$B35="日"</x:formula>
    </x:cfRule>
  </x:conditionalFormatting>
  <x:conditionalFormatting sqref="H35:I36 K35:K35">
    <x:cfRule type="timePeriod" dxfId="1" priority="371" timePeriod="lastMonth">
      <x:formula>AND(MONTH(H35)=MONTH(EDATE(TODAY(),0-1)),YEAR(H35)=YEAR(EDATE(TODAY(),0-1)))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7" width="14.13888931274414" customWidth="1"/>
    <x:col min="8" max="8" width="15.712963104248047" customWidth="1"/>
    <x:col min="9" max="9" width="50.28703689575195" customWidth="1"/>
    <x:col min="10" max="10" width="17.425926208496094" customWidth="1"/>
    <x:col min="11" max="11" width="23.13888931274414" customWidth="1"/>
  </x:cols>
  <x:sheetData>
    <x:row r="6">
      <x:c r="A6" s="80" t="s">
        <x:v>0</x:v>
      </x:c>
      <x:c r="B6">
        <x:v>3</x:v>
      </x:c>
    </x:row>
    <x:row r="7">
      <x:c r="A7">
        <x:v>2026</x:v>
      </x:c>
      <x:c r="B7">
        <x:v>3</x:v>
      </x:c>
    </x:row>
    <x:row r="8">
      <x:c r="C8" s="81" t="s">
        <x:v>1</x:v>
      </x:c>
      <x:c r="D8" s="81" t="s">
        <x:v>2</x:v>
      </x:c>
      <x:c r="E8" s="81" t="s">
        <x:v>3</x:v>
      </x:c>
      <x:c r="F8" s="93" t="s">
        <x:v>4</x:v>
      </x:c>
      <x:c r="G8" s="81" t="s">
        <x:v>5</x:v>
      </x:c>
      <x:c r="H8" s="81" t="s">
        <x:v>6</x:v>
      </x:c>
      <x:c r="I8" s="81" t="s">
        <x:v>7</x:v>
      </x:c>
      <x:c r="J8" s="81" t="s">
        <x:v>8</x:v>
      </x:c>
      <x:c r="K8" s="81" t="s">
        <x:v>9</x:v>
      </x:c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94" t="n">
        <x:f>DATE(A7,B7,1)</x:f>
        <x:v>46082</x:v>
      </x:c>
      <x:c r="B10" s="95" t="str">
        <x:f>TEXT(A10,"ddd")</x:f>
        <x:v>Sun</x:v>
      </x:c>
      <x:c r="C10" s="96"/>
      <x:c r="D10" s="96"/>
      <x:c r="E10" s="96"/>
      <x:c r="F10" s="96"/>
      <x:c r="G10" s="95"/>
      <x:c r="H10" s="95"/>
      <x:c r="I10" s="95"/>
      <x:c r="J10" s="96"/>
      <x:c r="K10" s="95"/>
    </x:row>
    <x:row r="11">
      <x:c r="A11" s="33" t="n">
        <x:f>A10+1</x:f>
        <x:v>46083</x:v>
      </x:c>
      <x:c r="B11" s="34" t="str">
        <x:f t="shared" ref="B11:B37" si="0">TEXT(A11,"ddd")</x:f>
        <x:v>Mon</x:v>
      </x:c>
      <x:c r="C11" s="35">
        <x:v>0.333333333333333</x:v>
      </x:c>
      <x:c r="D11" s="35">
        <x:v>0.708333333333333</x:v>
      </x:c>
      <x:c r="E11" s="35">
        <x:v>0.0416666666666667</x:v>
      </x:c>
      <x:c r="F11" s="36" t="n">
        <x:f>D11-C11-E11</x:f>
        <x:v>0.33333333333333337</x:v>
      </x:c>
      <x:c r="G11" s="35"/>
      <x:c r="H11" s="34"/>
      <x:c r="I11" s="34"/>
      <x:c r="J11" s="35"/>
      <x:c r="K11" s="99" t="s">
        <x:v>19</x:v>
      </x:c>
    </x:row>
    <x:row r="12">
      <x:c r="A12" s="33" t="n">
        <x:f t="shared" ref="A12:A40" si="1">A11+1</x:f>
        <x:v>46084</x:v>
      </x:c>
      <x:c r="B12" s="34" t="str">
        <x:f t="shared" si="0"/>
        <x:v>Tue</x:v>
      </x:c>
      <x:c r="C12" s="35">
        <x:v>0.333333333333333</x:v>
      </x:c>
      <x:c r="D12" s="35">
        <x:v>0.708333333333333</x:v>
      </x:c>
      <x:c r="E12" s="35">
        <x:v>0.0416666666666667</x:v>
      </x:c>
      <x:c r="F12" s="36" t="n">
        <x:f t="shared" ref="F12:F15" si="2">D12-C12-E12</x:f>
        <x:v>0.33333333333333337</x:v>
      </x:c>
      <x:c r="G12" s="35"/>
      <x:c r="H12" s="34"/>
      <x:c r="I12" s="34"/>
      <x:c r="J12" s="35"/>
      <x:c r="K12" s="99" t="s">
        <x:v>19</x:v>
      </x:c>
    </x:row>
    <x:row r="13">
      <x:c r="A13" s="33">
        <x:f t="shared" si="1"/>
        <x:v>46085</x:v>
      </x:c>
      <x:c r="B13" s="34" t="str">
        <x:f t="shared" si="0"/>
        <x:v>Wed</x:v>
      </x:c>
      <x:c r="C13" s="35">
        <x:v>0.333333333333333</x:v>
      </x:c>
      <x:c r="D13" s="35">
        <x:v>0.708333333333333</x:v>
      </x:c>
      <x:c r="E13" s="35">
        <x:v>0.0416666666666667</x:v>
      </x:c>
      <x:c r="F13" s="36">
        <x:f t="shared" si="2"/>
        <x:v>0.333333333333333</x:v>
      </x:c>
      <x:c r="G13" s="35"/>
      <x:c r="H13" s="34"/>
      <x:c r="I13" s="100"/>
      <x:c r="J13" s="35"/>
      <x:c r="K13" s="99" t="s">
        <x:v>19</x:v>
      </x:c>
    </x:row>
    <x:row r="14">
      <x:c r="A14" s="33">
        <x:f t="shared" si="1"/>
        <x:v>46086</x:v>
      </x:c>
      <x:c r="B14" s="34" t="str">
        <x:f t="shared" si="0"/>
        <x:v>Thu</x:v>
      </x:c>
      <x:c r="C14" s="35">
        <x:v>0.333333333333333</x:v>
      </x:c>
      <x:c r="D14" s="35">
        <x:v>0.708333333333333</x:v>
      </x:c>
      <x:c r="E14" s="35">
        <x:v>0.0416666666666667</x:v>
      </x:c>
      <x:c r="F14" s="36">
        <x:f t="shared" si="2"/>
        <x:v>0.333333333333333</x:v>
      </x:c>
      <x:c r="G14" s="35" t="n">
        <x:f t="shared" ref="G14:G40" si="3">D14-C14-E14</x:f>
        <x:v>0.33333333333333337</x:v>
      </x:c>
      <x:c r="H14" s="34" t="s">
        <x:v>20</x:v>
      </x:c>
      <x:c r="I14" s="34" t="s">
        <x:v>21</x:v>
      </x:c>
      <x:c r="J14" s="35"/>
      <x:c r="K14" s="42"/>
    </x:row>
    <x:row r="15" s="31" customFormat="1">
      <x:c r="A15" s="33">
        <x:f t="shared" si="1"/>
        <x:v>46087</x:v>
      </x:c>
      <x:c r="B15" s="34" t="str">
        <x:f t="shared" si="0"/>
        <x:v>Fri</x:v>
      </x:c>
      <x:c r="C15" s="35">
        <x:v>0.333333333333333</x:v>
      </x:c>
      <x:c r="D15" s="35">
        <x:v>0.708333333333333</x:v>
      </x:c>
      <x:c r="E15" s="35">
        <x:v>0.0416666666666667</x:v>
      </x:c>
      <x:c r="F15" s="36">
        <x:f t="shared" si="2"/>
        <x:v>0.333333333333333</x:v>
      </x:c>
      <x:c r="G15" s="35">
        <x:f t="shared" si="3"/>
        <x:v>0.333333333333333</x:v>
      </x:c>
      <x:c r="H15" s="34" t="s">
        <x:v>20</x:v>
      </x:c>
      <x:c r="I15" s="34" t="s">
        <x:v>22</x:v>
      </x:c>
      <x:c r="J15" s="34"/>
      <x:c r="K15" s="42"/>
    </x:row>
    <x:row r="16" s="31" customFormat="1">
      <x:c r="A16" s="94">
        <x:f t="shared" si="1"/>
        <x:v>46088</x:v>
      </x:c>
      <x:c r="B16" s="95" t="str">
        <x:f t="shared" si="0"/>
        <x:v>Sat</x:v>
      </x:c>
      <x:c r="C16" s="96"/>
      <x:c r="D16" s="96"/>
      <x:c r="E16" s="96"/>
      <x:c r="F16" s="96"/>
      <x:c r="G16" s="96"/>
      <x:c r="H16" s="95"/>
      <x:c r="I16" s="95"/>
      <x:c r="J16" s="95"/>
      <x:c r="K16" s="95"/>
    </x:row>
    <x:row r="17" s="31" customFormat="1">
      <x:c r="A17" s="94">
        <x:f t="shared" si="1"/>
        <x:v>46089</x:v>
      </x:c>
      <x:c r="B17" s="95" t="str">
        <x:f t="shared" si="0"/>
        <x:v>Sun</x:v>
      </x:c>
      <x:c r="C17" s="96"/>
      <x:c r="D17" s="96"/>
      <x:c r="E17" s="96"/>
      <x:c r="F17" s="96"/>
      <x:c r="G17" s="96"/>
      <x:c r="H17" s="95"/>
      <x:c r="I17" s="95"/>
      <x:c r="J17" s="96"/>
      <x:c r="K17" s="95"/>
    </x:row>
    <x:row r="18" s="31" customFormat="1">
      <x:c r="A18" s="33">
        <x:f t="shared" si="1"/>
        <x:v>46090</x:v>
      </x:c>
      <x:c r="B18" s="34" t="str">
        <x:f t="shared" si="0"/>
        <x:v>Mon</x:v>
      </x:c>
      <x:c r="C18" s="35">
        <x:v>0.333333333333333</x:v>
      </x:c>
      <x:c r="D18" s="35">
        <x:v>0.708333333333333</x:v>
      </x:c>
      <x:c r="E18" s="35">
        <x:v>0.0416666666666667</x:v>
      </x:c>
      <x:c r="F18" s="36" t="n">
        <x:f t="shared" ref="F18:F36" si="4">D18-C18-E18</x:f>
        <x:v>0.33333333333333337</x:v>
      </x:c>
      <x:c r="G18" s="35">
        <x:f t="shared" si="3"/>
        <x:v>0.333333333333333</x:v>
      </x:c>
      <x:c r="H18" s="34" t="s">
        <x:v>20</x:v>
      </x:c>
      <x:c r="I18" s="34" t="s">
        <x:v>22</x:v>
      </x:c>
      <x:c r="J18" s="34"/>
      <x:c r="K18" s="42"/>
    </x:row>
    <x:row r="19" s="31" customFormat="1">
      <x:c r="A19" s="33">
        <x:f t="shared" si="1"/>
        <x:v>46091</x:v>
      </x:c>
      <x:c r="B19" s="34" t="str">
        <x:f t="shared" si="0"/>
        <x:v>Tue</x:v>
      </x:c>
      <x:c r="C19" s="35">
        <x:v>0.333333333333333</x:v>
      </x:c>
      <x:c r="D19" s="35">
        <x:v>0.708333333333333</x:v>
      </x:c>
      <x:c r="E19" s="35">
        <x:v>0.0416666666666667</x:v>
      </x:c>
      <x:c r="F19" s="36">
        <x:f t="shared" si="4"/>
        <x:v>0.333333333333333</x:v>
      </x:c>
      <x:c r="G19" s="35">
        <x:f t="shared" si="3"/>
        <x:v>0.333333333333333</x:v>
      </x:c>
      <x:c r="H19" s="34" t="s">
        <x:v>20</x:v>
      </x:c>
      <x:c r="I19" s="34" t="s">
        <x:v>22</x:v>
      </x:c>
      <x:c r="J19" s="34"/>
      <x:c r="K19" s="42"/>
    </x:row>
    <x:row r="20" s="31" customFormat="1">
      <x:c r="A20" s="33">
        <x:f t="shared" si="1"/>
        <x:v>46092</x:v>
      </x:c>
      <x:c r="B20" s="34" t="str">
        <x:f t="shared" si="0"/>
        <x:v>Wed</x:v>
      </x:c>
      <x:c r="C20" s="35">
        <x:v>0.333333333333333</x:v>
      </x:c>
      <x:c r="D20" s="35">
        <x:v>0.791666666666667</x:v>
      </x:c>
      <x:c r="E20" s="35">
        <x:v>0.0833333333333333</x:v>
      </x:c>
      <x:c r="F20" s="36">
        <x:f t="shared" si="4"/>
        <x:v>0.375</x:v>
      </x:c>
      <x:c r="G20" s="35">
        <x:f t="shared" si="3"/>
        <x:v>0.375</x:v>
      </x:c>
      <x:c r="H20" s="34" t="s">
        <x:v>20</x:v>
      </x:c>
      <x:c r="I20" s="34" t="s">
        <x:v>22</x:v>
      </x:c>
      <x:c r="J20" s="34"/>
      <x:c r="K20" s="42"/>
    </x:row>
    <x:row r="21" s="31" customFormat="1">
      <x:c r="A21" s="33">
        <x:f t="shared" si="1"/>
        <x:v>46093</x:v>
      </x:c>
      <x:c r="B21" s="34" t="str">
        <x:f t="shared" si="0"/>
        <x:v>Thu</x:v>
      </x:c>
      <x:c r="C21" s="35">
        <x:v>0.333333333333333</x:v>
      </x:c>
      <x:c r="D21" s="35">
        <x:v>0.708333333333333</x:v>
      </x:c>
      <x:c r="E21" s="35">
        <x:v>0.0416666666666667</x:v>
      </x:c>
      <x:c r="F21" s="36">
        <x:f t="shared" si="4"/>
        <x:v>0.333333333333333</x:v>
      </x:c>
      <x:c r="G21" s="35">
        <x:f t="shared" si="3"/>
        <x:v>0.333333333333333</x:v>
      </x:c>
      <x:c r="H21" s="34" t="s">
        <x:v>20</x:v>
      </x:c>
      <x:c r="I21" s="34" t="s">
        <x:v>22</x:v>
      </x:c>
      <x:c r="J21" s="34"/>
      <x:c r="K21" s="42"/>
    </x:row>
    <x:row r="22" s="31" customFormat="1">
      <x:c r="A22" s="33">
        <x:f t="shared" si="1"/>
        <x:v>46094</x:v>
      </x:c>
      <x:c r="B22" s="34" t="str">
        <x:f t="shared" si="0"/>
        <x:v>Fri</x:v>
      </x:c>
      <x:c r="C22" s="35">
        <x:v>0.333333333333333</x:v>
      </x:c>
      <x:c r="D22" s="35">
        <x:v>0.708333333333333</x:v>
      </x:c>
      <x:c r="E22" s="35">
        <x:v>0.0416666666666667</x:v>
      </x:c>
      <x:c r="F22" s="36">
        <x:f t="shared" si="4"/>
        <x:v>0.333333333333333</x:v>
      </x:c>
      <x:c r="G22" s="35">
        <x:f t="shared" si="3"/>
        <x:v>0.333333333333333</x:v>
      </x:c>
      <x:c r="H22" s="34" t="s">
        <x:v>20</x:v>
      </x:c>
      <x:c r="I22" s="34" t="s">
        <x:v>21</x:v>
      </x:c>
      <x:c r="J22" s="34"/>
      <x:c r="K22" s="42"/>
    </x:row>
    <x:row r="23" s="31" customFormat="1">
      <x:c r="A23" s="94">
        <x:f t="shared" si="1"/>
        <x:v>46095</x:v>
      </x:c>
      <x:c r="B23" s="95" t="str">
        <x:f t="shared" si="0"/>
        <x:v>Sat</x:v>
      </x:c>
      <x:c r="C23" s="96"/>
      <x:c r="D23" s="96"/>
      <x:c r="E23" s="96"/>
      <x:c r="F23" s="96"/>
      <x:c r="G23" s="96"/>
      <x:c r="H23" s="95"/>
      <x:c r="I23" s="95"/>
      <x:c r="J23" s="95"/>
      <x:c r="K23" s="95"/>
    </x:row>
    <x:row r="24" s="31" customFormat="1">
      <x:c r="A24" s="94">
        <x:f t="shared" si="1"/>
        <x:v>46096</x:v>
      </x:c>
      <x:c r="B24" s="95" t="str">
        <x:f t="shared" si="0"/>
        <x:v>Sun</x:v>
      </x:c>
      <x:c r="C24" s="96"/>
      <x:c r="D24" s="96"/>
      <x:c r="E24" s="96"/>
      <x:c r="F24" s="96"/>
      <x:c r="G24" s="96"/>
      <x:c r="H24" s="95"/>
      <x:c r="I24" s="95"/>
      <x:c r="J24" s="96"/>
      <x:c r="K24" s="95"/>
    </x:row>
    <x:row r="25" s="31" customFormat="1">
      <x:c r="A25" s="33">
        <x:f t="shared" si="1"/>
        <x:v>46097</x:v>
      </x:c>
      <x:c r="B25" s="34" t="str">
        <x:f t="shared" si="0"/>
        <x:v>Mon</x:v>
      </x:c>
      <x:c r="C25" s="35">
        <x:v>0.333333333333333</x:v>
      </x:c>
      <x:c r="D25" s="35">
        <x:v>0.770833333333333</x:v>
      </x:c>
      <x:c r="E25" s="35">
        <x:v>0.0833333333333333</x:v>
      </x:c>
      <x:c r="F25" s="36">
        <x:f t="shared" si="4"/>
        <x:v>0.354166666666667</x:v>
      </x:c>
      <x:c r="G25" s="35">
        <x:f t="shared" si="3"/>
        <x:v>0.354166666666667</x:v>
      </x:c>
      <x:c r="H25" s="34" t="s">
        <x:v>20</x:v>
      </x:c>
      <x:c r="I25" s="34" t="s">
        <x:v>22</x:v>
      </x:c>
      <x:c r="J25" s="34"/>
      <x:c r="K25" s="42"/>
    </x:row>
    <x:row r="26" s="31" customFormat="1">
      <x:c r="A26" s="33">
        <x:f t="shared" si="1"/>
        <x:v>46098</x:v>
      </x:c>
      <x:c r="B26" s="34" t="str">
        <x:f t="shared" si="0"/>
        <x:v>Tue</x:v>
      </x:c>
      <x:c r="C26" s="35">
        <x:v>0.333333333333333</x:v>
      </x:c>
      <x:c r="D26" s="35">
        <x:v>0.708333333333333</x:v>
      </x:c>
      <x:c r="E26" s="35">
        <x:v>0.0416666666666667</x:v>
      </x:c>
      <x:c r="F26" s="36">
        <x:f t="shared" si="4"/>
        <x:v>0.333333333333334</x:v>
      </x:c>
      <x:c r="G26" s="35">
        <x:f t="shared" si="3"/>
        <x:v>0.333333333333334</x:v>
      </x:c>
      <x:c r="H26" s="34" t="s">
        <x:v>20</x:v>
      </x:c>
      <x:c r="I26" s="34" t="s">
        <x:v>22</x:v>
      </x:c>
      <x:c r="J26" s="34"/>
      <x:c r="K26" s="42"/>
    </x:row>
    <x:row r="27" s="31" customFormat="1">
      <x:c r="A27" s="33">
        <x:f t="shared" si="1"/>
        <x:v>46099</x:v>
      </x:c>
      <x:c r="B27" s="34" t="str">
        <x:f t="shared" si="0"/>
        <x:v>Wed</x:v>
      </x:c>
      <x:c r="C27" s="35">
        <x:v>0.333333333333333</x:v>
      </x:c>
      <x:c r="D27" s="35">
        <x:v>0.708333333333333</x:v>
      </x:c>
      <x:c r="E27" s="35">
        <x:v>0.0416666666666667</x:v>
      </x:c>
      <x:c r="F27" s="36">
        <x:f t="shared" si="4"/>
        <x:v>0.333333333333333</x:v>
      </x:c>
      <x:c r="G27" s="35">
        <x:f t="shared" si="3"/>
        <x:v>0.333333333333333</x:v>
      </x:c>
      <x:c r="H27" s="34" t="s">
        <x:v>20</x:v>
      </x:c>
      <x:c r="I27" s="34" t="s">
        <x:v>22</x:v>
      </x:c>
      <x:c r="J27" s="34"/>
      <x:c r="K27" s="42"/>
    </x:row>
    <x:row r="28" s="31" customFormat="1">
      <x:c r="A28" s="33">
        <x:f t="shared" si="1"/>
        <x:v>46100</x:v>
      </x:c>
      <x:c r="B28" s="34" t="str">
        <x:f t="shared" si="0"/>
        <x:v>Thu</x:v>
      </x:c>
      <x:c r="C28" s="35">
        <x:v>0.333333333333333</x:v>
      </x:c>
      <x:c r="D28" s="35">
        <x:v>0.708333333333333</x:v>
      </x:c>
      <x:c r="E28" s="35">
        <x:v>0.0416666666666667</x:v>
      </x:c>
      <x:c r="F28" s="36">
        <x:f t="shared" si="4"/>
        <x:v>0.333333333333333</x:v>
      </x:c>
      <x:c r="G28" s="35">
        <x:f t="shared" si="3"/>
        <x:v>0.333333333333333</x:v>
      </x:c>
      <x:c r="H28" s="34" t="s">
        <x:v>20</x:v>
      </x:c>
      <x:c r="I28" s="34" t="s">
        <x:v>22</x:v>
      </x:c>
      <x:c r="J28" s="34"/>
      <x:c r="K28" s="42"/>
    </x:row>
    <x:row r="29" s="31" customFormat="1">
      <x:c r="A29" s="33">
        <x:f t="shared" si="1"/>
        <x:v>46101</x:v>
      </x:c>
      <x:c r="B29" s="34" t="str">
        <x:f t="shared" si="0"/>
        <x:v>Fri</x:v>
      </x:c>
      <x:c r="C29" s="35">
        <x:v>0.333333333333333</x:v>
      </x:c>
      <x:c r="D29" s="35">
        <x:v>0.708333333333333</x:v>
      </x:c>
      <x:c r="E29" s="35">
        <x:v>0.0416666666666667</x:v>
      </x:c>
      <x:c r="F29" s="36">
        <x:f t="shared" si="4"/>
        <x:v>0.333333333333333</x:v>
      </x:c>
      <x:c r="G29" s="35">
        <x:f t="shared" si="3"/>
        <x:v>0.333333333333333</x:v>
      </x:c>
      <x:c r="H29" s="34" t="s">
        <x:v>20</x:v>
      </x:c>
      <x:c r="I29" s="34" t="s">
        <x:v>22</x:v>
      </x:c>
      <x:c r="J29" s="34"/>
      <x:c r="K29" s="42"/>
    </x:row>
    <x:row r="30" s="31" customFormat="1">
      <x:c r="A30" s="94">
        <x:f t="shared" si="1"/>
        <x:v>46102</x:v>
      </x:c>
      <x:c r="B30" s="95" t="str">
        <x:f t="shared" si="0"/>
        <x:v>Sat</x:v>
      </x:c>
      <x:c r="C30" s="96"/>
      <x:c r="D30" s="96"/>
      <x:c r="E30" s="96"/>
      <x:c r="F30" s="96"/>
      <x:c r="G30" s="96"/>
      <x:c r="H30" s="95"/>
      <x:c r="I30" s="95"/>
      <x:c r="J30" s="95"/>
      <x:c r="K30" s="95"/>
    </x:row>
    <x:row r="31" s="31" customFormat="1">
      <x:c r="A31" s="94">
        <x:f t="shared" si="1"/>
        <x:v>46103</x:v>
      </x:c>
      <x:c r="B31" s="95" t="str">
        <x:f t="shared" si="0"/>
        <x:v>Sun</x:v>
      </x:c>
      <x:c r="C31" s="96"/>
      <x:c r="D31" s="96"/>
      <x:c r="E31" s="96"/>
      <x:c r="F31" s="96"/>
      <x:c r="G31" s="96"/>
      <x:c r="H31" s="95"/>
      <x:c r="I31" s="95"/>
      <x:c r="J31" s="96"/>
      <x:c r="K31" s="95"/>
    </x:row>
    <x:row r="32" s="31" customFormat="1">
      <x:c r="A32" s="33">
        <x:f t="shared" si="1"/>
        <x:v>46104</x:v>
      </x:c>
      <x:c r="B32" s="34" t="str">
        <x:f t="shared" si="0"/>
        <x:v>Mon</x:v>
      </x:c>
      <x:c r="C32" s="35">
        <x:v>0.333333333333333</x:v>
      </x:c>
      <x:c r="D32" s="35">
        <x:v>0.708333333333333</x:v>
      </x:c>
      <x:c r="E32" s="35">
        <x:v>0.0416666666666667</x:v>
      </x:c>
      <x:c r="F32" s="36">
        <x:f t="shared" si="4"/>
        <x:v>0.333333333333333</x:v>
      </x:c>
      <x:c r="G32" s="35">
        <x:f t="shared" si="3"/>
        <x:v>0.333333333333333</x:v>
      </x:c>
      <x:c r="H32" s="34" t="s">
        <x:v>20</x:v>
      </x:c>
      <x:c r="I32" s="34" t="s">
        <x:v>21</x:v>
      </x:c>
      <x:c r="J32" s="35"/>
      <x:c r="K32" s="42"/>
    </x:row>
    <x:row r="33" s="31" customFormat="1">
      <x:c r="A33" s="33">
        <x:f t="shared" si="1"/>
        <x:v>46105</x:v>
      </x:c>
      <x:c r="B33" s="34" t="str">
        <x:f t="shared" si="0"/>
        <x:v>Tue</x:v>
      </x:c>
      <x:c r="C33" s="35">
        <x:v>0.333333333333333</x:v>
      </x:c>
      <x:c r="D33" s="35">
        <x:v>0.708333333333333</x:v>
      </x:c>
      <x:c r="E33" s="35">
        <x:v>0.0416666666666667</x:v>
      </x:c>
      <x:c r="F33" s="36">
        <x:f t="shared" si="4"/>
        <x:v>0.333333333333333</x:v>
      </x:c>
      <x:c r="G33" s="35">
        <x:f t="shared" si="3"/>
        <x:v>0.333333333333333</x:v>
      </x:c>
      <x:c r="H33" s="34" t="s">
        <x:v>20</x:v>
      </x:c>
      <x:c r="I33" s="34" t="s">
        <x:v>21</x:v>
      </x:c>
      <x:c r="J33" s="35"/>
      <x:c r="K33" s="42"/>
    </x:row>
    <x:row r="34" s="31" customFormat="1">
      <x:c r="A34" s="33">
        <x:f t="shared" si="1"/>
        <x:v>46106</x:v>
      </x:c>
      <x:c r="B34" s="34" t="str">
        <x:f t="shared" si="0"/>
        <x:v>Wed</x:v>
      </x:c>
      <x:c r="C34" s="35">
        <x:v>0.333333333333333</x:v>
      </x:c>
      <x:c r="D34" s="35">
        <x:v>0.708333333333333</x:v>
      </x:c>
      <x:c r="E34" s="35">
        <x:v>0.0416666666666667</x:v>
      </x:c>
      <x:c r="F34" s="36">
        <x:f t="shared" si="4"/>
        <x:v>0.333333333333333</x:v>
      </x:c>
      <x:c r="G34" s="35"/>
      <x:c r="H34" s="34"/>
      <x:c r="I34" s="100"/>
      <x:c r="J34" s="35"/>
      <x:c r="K34" s="99" t="s">
        <x:v>19</x:v>
      </x:c>
    </x:row>
    <x:row r="35" s="31" customFormat="1">
      <x:c r="A35" s="33">
        <x:f t="shared" si="1"/>
        <x:v>46107</x:v>
      </x:c>
      <x:c r="B35" s="34" t="str">
        <x:f t="shared" si="0"/>
        <x:v>Thu</x:v>
      </x:c>
      <x:c r="C35" s="35">
        <x:v>0.333333333333333</x:v>
      </x:c>
      <x:c r="D35" s="35">
        <x:v>0.708333333333333</x:v>
      </x:c>
      <x:c r="E35" s="35">
        <x:v>0.0416666666666667</x:v>
      </x:c>
      <x:c r="F35" s="36">
        <x:f t="shared" si="4"/>
        <x:v>0.333333333333333</x:v>
      </x:c>
      <x:c r="G35" s="35">
        <x:f t="shared" si="3"/>
        <x:v>0.333333333333333</x:v>
      </x:c>
      <x:c r="H35" s="34" t="s">
        <x:v>20</x:v>
      </x:c>
      <x:c r="I35" s="34" t="s">
        <x:v>22</x:v>
      </x:c>
      <x:c r="J35" s="35"/>
      <x:c r="K35" s="99"/>
    </x:row>
    <x:row r="36" s="31" customFormat="1">
      <x:c r="A36" s="33">
        <x:f t="shared" si="1"/>
        <x:v>46108</x:v>
      </x:c>
      <x:c r="B36" s="34" t="str">
        <x:f t="shared" si="0"/>
        <x:v>Fri</x:v>
      </x:c>
      <x:c r="C36" s="35">
        <x:v>0.333333333333333</x:v>
      </x:c>
      <x:c r="D36" s="35">
        <x:v>0.708333333333333</x:v>
      </x:c>
      <x:c r="E36" s="35">
        <x:v>0.0416666666666667</x:v>
      </x:c>
      <x:c r="F36" s="36">
        <x:f t="shared" si="4"/>
        <x:v>0.333333333333333</x:v>
      </x:c>
      <x:c r="G36" s="35">
        <x:f t="shared" si="3"/>
        <x:v>0.333333333333333</x:v>
      </x:c>
      <x:c r="H36" s="34" t="s">
        <x:v>20</x:v>
      </x:c>
      <x:c r="I36" s="34" t="s">
        <x:v>21</x:v>
      </x:c>
      <x:c r="J36" s="34"/>
      <x:c r="K36" s="99"/>
    </x:row>
    <x:row r="37" s="31" customFormat="1">
      <x:c r="A37" s="94">
        <x:f t="shared" si="1"/>
        <x:v>46109</x:v>
      </x:c>
      <x:c r="B37" s="95" t="str">
        <x:f t="shared" si="0"/>
        <x:v>Sat</x:v>
      </x:c>
      <x:c r="C37" s="96"/>
      <x:c r="D37" s="96"/>
      <x:c r="E37" s="96"/>
      <x:c r="F37" s="96"/>
      <x:c r="G37" s="96"/>
      <x:c r="H37" s="95"/>
      <x:c r="I37" s="95"/>
      <x:c r="J37" s="95"/>
      <x:c r="K37" s="95"/>
    </x:row>
    <x:row r="38">
      <x:c r="A38" s="97">
        <x:f t="shared" si="1"/>
        <x:v>46110</x:v>
      </x:c>
      <x:c r="B38" s="98" t="str">
        <x:f t="shared" ref="B38:B40" si="5">TEXT(A38,"ddd")</x:f>
        <x:v>Sun</x:v>
      </x:c>
      <x:c r="C38" s="96"/>
      <x:c r="D38" s="96"/>
      <x:c r="E38" s="96"/>
      <x:c r="F38" s="96"/>
      <x:c r="G38" s="96"/>
      <x:c r="H38" s="95"/>
      <x:c r="I38" s="95"/>
      <x:c r="J38" s="95"/>
      <x:c r="K38" s="95"/>
    </x:row>
    <x:row r="39">
      <x:c r="A39" s="33">
        <x:f t="shared" si="1"/>
        <x:v>46111</x:v>
      </x:c>
      <x:c r="B39" s="34" t="str">
        <x:f t="shared" si="5"/>
        <x:v>Mon</x:v>
      </x:c>
      <x:c r="C39" s="35">
        <x:v>0.333333333333333</x:v>
      </x:c>
      <x:c r="D39" s="35">
        <x:v>0.708333333333333</x:v>
      </x:c>
      <x:c r="E39" s="35">
        <x:v>0.0416666666666667</x:v>
      </x:c>
      <x:c r="F39" s="36" t="n">
        <x:f t="shared" ref="F39:F40" si="6">D39-C39-E39</x:f>
        <x:v>0.33333333333333337</x:v>
      </x:c>
      <x:c r="G39" s="35">
        <x:f t="shared" si="3"/>
        <x:v>0.333333333333333</x:v>
      </x:c>
      <x:c r="H39" s="34" t="s">
        <x:v>20</x:v>
      </x:c>
      <x:c r="I39" s="34" t="s">
        <x:v>21</x:v>
      </x:c>
      <x:c r="J39" s="34"/>
      <x:c r="K39" s="99"/>
    </x:row>
    <x:row r="40">
      <x:c r="A40" s="33">
        <x:f t="shared" si="1"/>
        <x:v>46112</x:v>
      </x:c>
      <x:c r="B40" s="34" t="str">
        <x:f t="shared" si="5"/>
        <x:v>Tue</x:v>
      </x:c>
      <x:c r="C40" s="35">
        <x:v>0.333333333333333</x:v>
      </x:c>
      <x:c r="D40" s="35">
        <x:v>0.708333333333333</x:v>
      </x:c>
      <x:c r="E40" s="35">
        <x:v>0.0416666666666667</x:v>
      </x:c>
      <x:c r="F40" s="36">
        <x:f t="shared" si="6"/>
        <x:v>0.333333333333333</x:v>
      </x:c>
      <x:c r="G40" s="35">
        <x:f t="shared" si="3"/>
        <x:v>0.333333333333333</x:v>
      </x:c>
      <x:c r="H40" s="34" t="s">
        <x:v>20</x:v>
      </x:c>
      <x:c r="I40" s="34" t="s">
        <x:v>21</x:v>
      </x:c>
      <x:c r="J40" s="34"/>
      <x:c r="K40" s="99"/>
    </x:row>
  </x:sheetData>
  <x:conditionalFormatting sqref="H10:J10">
    <x:cfRule type="expression" dxfId="0" priority="734">
      <x:formula>$B10="土"</x:formula>
    </x:cfRule>
    <x:cfRule type="expression" dxfId="0" priority="735">
      <x:formula>$B10="日"</x:formula>
    </x:cfRule>
  </x:conditionalFormatting>
  <x:conditionalFormatting sqref="H10:K10">
    <x:cfRule type="timePeriod" dxfId="1" priority="736" timePeriod="lastMonth">
      <x:formula>AND(MONTH(H10)=MONTH(EDATE(TODAY(),0-1)),YEAR(H10)=YEAR(EDATE(TODAY(),0-1)))</x:formula>
    </x:cfRule>
  </x:conditionalFormatting>
  <x:conditionalFormatting sqref="K10:K10">
    <x:cfRule type="expression" dxfId="0" priority="737">
      <x:formula>WEEKDAY(K$10)=L$4</x:formula>
    </x:cfRule>
  </x:conditionalFormatting>
  <x:conditionalFormatting sqref="E11:E11">
    <x:cfRule type="expression" dxfId="0" priority="634">
      <x:formula>$B11="土"</x:formula>
    </x:cfRule>
    <x:cfRule type="expression" dxfId="0" priority="635">
      <x:formula>$B11="日"</x:formula>
    </x:cfRule>
    <x:cfRule type="timePeriod" dxfId="1" priority="633" timePeriod="lastMonth">
      <x:formula>AND(MONTH(E11)=MONTH(EDATE(TODAY(),0-1)),YEAR(E11)=YEAR(EDATE(TODAY(),0-1)))</x:formula>
    </x:cfRule>
  </x:conditionalFormatting>
  <x:conditionalFormatting sqref="H11:J11">
    <x:cfRule type="expression" dxfId="0" priority="746">
      <x:formula>$B11="土"</x:formula>
    </x:cfRule>
    <x:cfRule type="expression" dxfId="0" priority="747">
      <x:formula>$B11="日"</x:formula>
    </x:cfRule>
  </x:conditionalFormatting>
  <x:conditionalFormatting sqref="F12:F12">
    <x:cfRule type="expression" dxfId="0" priority="616">
      <x:formula>$B12="土"</x:formula>
    </x:cfRule>
    <x:cfRule type="expression" dxfId="0" priority="617">
      <x:formula>$B12="日"</x:formula>
    </x:cfRule>
    <x:cfRule type="timePeriod" dxfId="1" priority="615" timePeriod="lastMonth">
      <x:formula>AND(MONTH(F12)=MONTH(EDATE(TODAY(),0-1)),YEAR(F12)=YEAR(EDATE(TODAY(),0-1)))</x:formula>
    </x:cfRule>
  </x:conditionalFormatting>
  <x:conditionalFormatting sqref="H12:I12">
    <x:cfRule type="timePeriod" dxfId="1" priority="709" timePeriod="lastMonth">
      <x:formula>AND(MONTH(H12)=MONTH(EDATE(TODAY(),0-1)),YEAR(H12)=YEAR(EDATE(TODAY(),0-1)))</x:formula>
    </x:cfRule>
    <x:cfRule type="expression" dxfId="0" priority="710">
      <x:formula>$B12="土"</x:formula>
    </x:cfRule>
    <x:cfRule type="expression" dxfId="0" priority="711">
      <x:formula>$B12="日"</x:formula>
    </x:cfRule>
  </x:conditionalFormatting>
  <x:conditionalFormatting sqref="J12:J12">
    <x:cfRule type="timePeriod" dxfId="1" priority="707" timePeriod="lastMonth">
      <x:formula>AND(MONTH(J12)=MONTH(EDATE(TODAY(),0-1)),YEAR(J12)=YEAR(EDATE(TODAY(),0-1)))</x:formula>
    </x:cfRule>
    <x:cfRule type="expression" dxfId="2" priority="705">
      <x:formula>$B12="日"</x:formula>
    </x:cfRule>
    <x:cfRule type="expression" dxfId="2" priority="706">
      <x:formula>$B12="土"</x:formula>
    </x:cfRule>
  </x:conditionalFormatting>
  <x:conditionalFormatting sqref="F13:F13">
    <x:cfRule type="timePeriod" dxfId="1" priority="612" timePeriod="lastMonth">
      <x:formula>AND(MONTH(F13)=MONTH(EDATE(TODAY(),0-1)),YEAR(F13)=YEAR(EDATE(TODAY(),0-1)))</x:formula>
    </x:cfRule>
    <x:cfRule type="expression" dxfId="0" priority="613">
      <x:formula>$B13="土"</x:formula>
    </x:cfRule>
    <x:cfRule type="expression" dxfId="0" priority="614">
      <x:formula>$B13="日"</x:formula>
    </x:cfRule>
  </x:conditionalFormatting>
  <x:conditionalFormatting sqref="J13:J13">
    <x:cfRule type="timePeriod" dxfId="1" priority="704" timePeriod="lastMonth">
      <x:formula>AND(MONTH(J13)=MONTH(EDATE(TODAY(),0-1)),YEAR(J13)=YEAR(EDATE(TODAY(),0-1)))</x:formula>
    </x:cfRule>
    <x:cfRule type="expression" dxfId="2" priority="702">
      <x:formula>$B13="日"</x:formula>
    </x:cfRule>
    <x:cfRule type="expression" dxfId="2" priority="703">
      <x:formula>$B13="土"</x:formula>
    </x:cfRule>
  </x:conditionalFormatting>
  <x:conditionalFormatting sqref="I14:I14">
    <x:cfRule type="expression" dxfId="0" priority="697">
      <x:formula>$B14="土"</x:formula>
    </x:cfRule>
    <x:cfRule type="expression" dxfId="0" priority="698">
      <x:formula>$B14="日"</x:formula>
    </x:cfRule>
    <x:cfRule type="timePeriod" dxfId="1" priority="699" timePeriod="lastMonth">
      <x:formula>AND(MONTH(I14)=MONTH(EDATE(TODAY(),0-1)),YEAR(I14)=YEAR(EDATE(TODAY(),0-1)))</x:formula>
    </x:cfRule>
  </x:conditionalFormatting>
  <x:conditionalFormatting sqref="J14:J14">
    <x:cfRule type="timePeriod" dxfId="1" priority="696" timePeriod="lastMonth">
      <x:formula>AND(MONTH(J14)=MONTH(EDATE(TODAY(),0-1)),YEAR(J14)=YEAR(EDATE(TODAY(),0-1)))</x:formula>
    </x:cfRule>
    <x:cfRule type="expression" dxfId="2" priority="694">
      <x:formula>$B14="日"</x:formula>
    </x:cfRule>
    <x:cfRule type="expression" dxfId="2" priority="695">
      <x:formula>$B14="土"</x:formula>
    </x:cfRule>
  </x:conditionalFormatting>
  <x:conditionalFormatting sqref="E15:F15">
    <x:cfRule type="timePeriod" dxfId="1" priority="689" timePeriod="lastMonth">
      <x:formula>AND(MONTH(E15)=MONTH(EDATE(TODAY(),0-1)),YEAR(E15)=YEAR(EDATE(TODAY(),0-1)))</x:formula>
    </x:cfRule>
    <x:cfRule type="expression" dxfId="0" priority="690">
      <x:formula>$B15="土"</x:formula>
    </x:cfRule>
    <x:cfRule type="expression" dxfId="0" priority="691">
      <x:formula>$B15="日"</x:formula>
    </x:cfRule>
  </x:conditionalFormatting>
  <x:conditionalFormatting sqref="E15:E15">
    <x:cfRule type="timePeriod" dxfId="1" priority="624" timePeriod="lastMonth">
      <x:formula>AND(MONTH(E15)=MONTH(EDATE(TODAY(),0-1)),YEAR(E15)=YEAR(EDATE(TODAY(),0-1)))</x:formula>
    </x:cfRule>
    <x:cfRule type="expression" dxfId="0" priority="625">
      <x:formula>$B15="土"</x:formula>
    </x:cfRule>
    <x:cfRule type="expression" dxfId="0" priority="626">
      <x:formula>$B15="日"</x:formula>
    </x:cfRule>
  </x:conditionalFormatting>
  <x:conditionalFormatting sqref="F15:F15">
    <x:cfRule type="timePeriod" dxfId="1" priority="686" timePeriod="lastMonth">
      <x:formula>AND(MONTH(F15)=MONTH(EDATE(TODAY(),0-1)),YEAR(F15)=YEAR(EDATE(TODAY(),0-1)))</x:formula>
    </x:cfRule>
    <x:cfRule type="expression" dxfId="0" priority="687">
      <x:formula>$B15="土"</x:formula>
    </x:cfRule>
    <x:cfRule type="expression" dxfId="0" priority="688">
      <x:formula>$B15="日"</x:formula>
    </x:cfRule>
  </x:conditionalFormatting>
  <x:conditionalFormatting sqref="I15:I15">
    <x:cfRule type="expression" dxfId="0" priority="32">
      <x:formula>$B15="土"</x:formula>
    </x:cfRule>
    <x:cfRule type="expression" dxfId="0" priority="33">
      <x:formula>$B15="日"</x:formula>
    </x:cfRule>
    <x:cfRule type="timePeriod" dxfId="1" priority="34" timePeriod="lastMonth">
      <x:formula>AND(MONTH(I15)=MONTH(EDATE(TODAY(),0-1)),YEAR(I15)=YEAR(EDATE(TODAY(),0-1)))</x:formula>
    </x:cfRule>
  </x:conditionalFormatting>
  <x:conditionalFormatting sqref="E16:E16">
    <x:cfRule type="timePeriod" dxfId="1" priority="680" timePeriod="lastMonth">
      <x:formula>AND(MONTH(E16)=MONTH(EDATE(TODAY(),0-1)),YEAR(E16)=YEAR(EDATE(TODAY(),0-1)))</x:formula>
    </x:cfRule>
    <x:cfRule type="expression" dxfId="0" priority="681">
      <x:formula>$B16="土"</x:formula>
    </x:cfRule>
    <x:cfRule type="expression" dxfId="0" priority="682">
      <x:formula>$B16="日"</x:formula>
    </x:cfRule>
  </x:conditionalFormatting>
  <x:conditionalFormatting sqref="E17:E17">
    <x:cfRule type="timePeriod" dxfId="1" priority="636" timePeriod="lastMonth">
      <x:formula>AND(MONTH(E17)=MONTH(EDATE(TODAY(),0-1)),YEAR(E17)=YEAR(EDATE(TODAY(),0-1)))</x:formula>
    </x:cfRule>
    <x:cfRule type="expression" dxfId="0" priority="637">
      <x:formula>$B17="土"</x:formula>
    </x:cfRule>
    <x:cfRule type="expression" dxfId="0" priority="638">
      <x:formula>$B17="日"</x:formula>
    </x:cfRule>
  </x:conditionalFormatting>
  <x:conditionalFormatting sqref="K17:K17">
    <x:cfRule type="expression" dxfId="0" priority="730">
      <x:formula>WEEKDAY(K$10)=L$4</x:formula>
    </x:cfRule>
  </x:conditionalFormatting>
  <x:conditionalFormatting sqref="J18:J18">
    <x:cfRule type="expression" dxfId="0" priority="83">
      <x:formula>$B18="土"</x:formula>
    </x:cfRule>
    <x:cfRule type="expression" dxfId="0" priority="84">
      <x:formula>$B18="日"</x:formula>
    </x:cfRule>
    <x:cfRule type="timePeriod" dxfId="1" priority="85" timePeriod="lastMonth">
      <x:formula>AND(MONTH(J18)=MONTH(EDATE(TODAY(),0-1)),YEAR(J18)=YEAR(EDATE(TODAY(),0-1)))</x:formula>
    </x:cfRule>
  </x:conditionalFormatting>
  <x:conditionalFormatting sqref="J19:J19">
    <x:cfRule type="expression" dxfId="0" priority="86">
      <x:formula>$B19="土"</x:formula>
    </x:cfRule>
    <x:cfRule type="expression" dxfId="0" priority="87">
      <x:formula>$B19="日"</x:formula>
    </x:cfRule>
    <x:cfRule type="timePeriod" dxfId="1" priority="88" timePeriod="lastMonth">
      <x:formula>AND(MONTH(J19)=MONTH(EDATE(TODAY(),0-1)),YEAR(J19)=YEAR(EDATE(TODAY(),0-1)))</x:formula>
    </x:cfRule>
  </x:conditionalFormatting>
  <x:conditionalFormatting sqref="J20:J20">
    <x:cfRule type="expression" dxfId="0" priority="74">
      <x:formula>$B20="土"</x:formula>
    </x:cfRule>
    <x:cfRule type="expression" dxfId="0" priority="75">
      <x:formula>$B20="日"</x:formula>
    </x:cfRule>
    <x:cfRule type="timePeriod" dxfId="1" priority="76" timePeriod="lastMonth">
      <x:formula>AND(MONTH(J20)=MONTH(EDATE(TODAY(),0-1)),YEAR(J20)=YEAR(EDATE(TODAY(),0-1)))</x:formula>
    </x:cfRule>
  </x:conditionalFormatting>
  <x:conditionalFormatting sqref="J21:J21">
    <x:cfRule type="expression" dxfId="0" priority="77">
      <x:formula>$B21="土"</x:formula>
    </x:cfRule>
    <x:cfRule type="expression" dxfId="0" priority="78">
      <x:formula>$B21="日"</x:formula>
    </x:cfRule>
    <x:cfRule type="timePeriod" dxfId="1" priority="79" timePeriod="lastMonth">
      <x:formula>AND(MONTH(J21)=MONTH(EDATE(TODAY(),0-1)),YEAR(J21)=YEAR(EDATE(TODAY(),0-1)))</x:formula>
    </x:cfRule>
  </x:conditionalFormatting>
  <x:conditionalFormatting sqref="H22:H22">
    <x:cfRule type="expression" dxfId="0" priority="71">
      <x:formula>$B22="土"</x:formula>
    </x:cfRule>
    <x:cfRule type="expression" dxfId="0" priority="72">
      <x:formula>$B22="日"</x:formula>
    </x:cfRule>
    <x:cfRule type="timePeriod" dxfId="1" priority="73" timePeriod="lastMonth">
      <x:formula>AND(MONTH(H22)=MONTH(EDATE(TODAY(),0-1)),YEAR(H22)=YEAR(EDATE(TODAY(),0-1)))</x:formula>
    </x:cfRule>
  </x:conditionalFormatting>
  <x:conditionalFormatting sqref="I22:I22">
    <x:cfRule type="expression" dxfId="0" priority="35">
      <x:formula>$B22="土"</x:formula>
    </x:cfRule>
    <x:cfRule type="expression" dxfId="0" priority="36">
      <x:formula>$B22="日"</x:formula>
    </x:cfRule>
    <x:cfRule type="timePeriod" dxfId="1" priority="37" timePeriod="lastMonth">
      <x:formula>AND(MONTH(I22)=MONTH(EDATE(TODAY(),0-1)),YEAR(I22)=YEAR(EDATE(TODAY(),0-1)))</x:formula>
    </x:cfRule>
  </x:conditionalFormatting>
  <x:conditionalFormatting sqref="J22:J22">
    <x:cfRule type="expression" dxfId="0" priority="68">
      <x:formula>$B22="土"</x:formula>
    </x:cfRule>
    <x:cfRule type="expression" dxfId="0" priority="69">
      <x:formula>$B22="日"</x:formula>
    </x:cfRule>
    <x:cfRule type="timePeriod" dxfId="1" priority="70" timePeriod="lastMonth">
      <x:formula>AND(MONTH(J22)=MONTH(EDATE(TODAY(),0-1)),YEAR(J22)=YEAR(EDATE(TODAY(),0-1)))</x:formula>
    </x:cfRule>
  </x:conditionalFormatting>
  <x:conditionalFormatting sqref="J23:K23">
    <x:cfRule type="expression" dxfId="0" priority="521">
      <x:formula>$B23="土"</x:formula>
    </x:cfRule>
    <x:cfRule type="expression" dxfId="0" priority="522">
      <x:formula>$B23="日"</x:formula>
    </x:cfRule>
    <x:cfRule type="timePeriod" dxfId="1" priority="523" timePeriod="lastMonth">
      <x:formula>AND(MONTH(J23)=MONTH(EDATE(TODAY(),0-1)),YEAR(J23)=YEAR(EDATE(TODAY(),0-1)))</x:formula>
    </x:cfRule>
  </x:conditionalFormatting>
  <x:conditionalFormatting sqref="E24:G24">
    <x:cfRule type="timePeriod" dxfId="1" priority="518" timePeriod="lastMonth">
      <x:formula>AND(MONTH(E24)=MONTH(EDATE(TODAY(),0-1)),YEAR(E24)=YEAR(EDATE(TODAY(),0-1)))</x:formula>
    </x:cfRule>
    <x:cfRule type="expression" dxfId="0" priority="519">
      <x:formula>$B24="土"</x:formula>
    </x:cfRule>
    <x:cfRule type="expression" dxfId="0" priority="520">
      <x:formula>$B24="日"</x:formula>
    </x:cfRule>
    <x:cfRule type="timePeriod" dxfId="1" priority="512" timePeriod="lastMonth">
      <x:formula>AND(MONTH(E24)=MONTH(EDATE(TODAY(),0-1)),YEAR(E24)=YEAR(EDATE(TODAY(),0-1)))</x:formula>
    </x:cfRule>
    <x:cfRule type="expression" dxfId="0" priority="513">
      <x:formula>$B24="土"</x:formula>
    </x:cfRule>
    <x:cfRule type="expression" dxfId="0" priority="514">
      <x:formula>$B24="日"</x:formula>
    </x:cfRule>
    <x:cfRule type="timePeriod" dxfId="1" priority="509" timePeriod="lastMonth">
      <x:formula>AND(MONTH(E24)=MONTH(EDATE(TODAY(),0-1)),YEAR(E24)=YEAR(EDATE(TODAY(),0-1)))</x:formula>
    </x:cfRule>
    <x:cfRule type="expression" dxfId="0" priority="510">
      <x:formula>$B24="土"</x:formula>
    </x:cfRule>
    <x:cfRule type="expression" dxfId="0" priority="511">
      <x:formula>$B24="日"</x:formula>
    </x:cfRule>
  </x:conditionalFormatting>
  <x:conditionalFormatting sqref="E24:E24">
    <x:cfRule type="timePeriod" dxfId="1" priority="515" timePeriod="lastMonth">
      <x:formula>AND(MONTH(E24)=MONTH(EDATE(TODAY(),0-1)),YEAR(E24)=YEAR(EDATE(TODAY(),0-1)))</x:formula>
    </x:cfRule>
    <x:cfRule type="expression" dxfId="0" priority="516">
      <x:formula>$B24="土"</x:formula>
    </x:cfRule>
    <x:cfRule type="expression" dxfId="0" priority="517">
      <x:formula>$B24="日"</x:formula>
    </x:cfRule>
  </x:conditionalFormatting>
  <x:conditionalFormatting sqref="F24:G24">
    <x:cfRule type="timePeriod" dxfId="1" priority="527" timePeriod="lastMonth">
      <x:formula>AND(MONTH(F24)=MONTH(EDATE(TODAY(),0-1)),YEAR(F24)=YEAR(EDATE(TODAY(),0-1)))</x:formula>
    </x:cfRule>
    <x:cfRule type="expression" dxfId="0" priority="528">
      <x:formula>$B24="土"</x:formula>
    </x:cfRule>
    <x:cfRule type="expression" dxfId="0" priority="529">
      <x:formula>$B24="日"</x:formula>
    </x:cfRule>
  </x:conditionalFormatting>
  <x:conditionalFormatting sqref="F24:F24">
    <x:cfRule type="timePeriod" dxfId="1" priority="500" timePeriod="lastMonth">
      <x:formula>AND(MONTH(F24)=MONTH(EDATE(TODAY(),0-1)),YEAR(F24)=YEAR(EDATE(TODAY(),0-1)))</x:formula>
    </x:cfRule>
    <x:cfRule type="expression" dxfId="0" priority="501">
      <x:formula>$B24="土"</x:formula>
    </x:cfRule>
    <x:cfRule type="expression" dxfId="0" priority="502">
      <x:formula>$B24="日"</x:formula>
    </x:cfRule>
  </x:conditionalFormatting>
  <x:conditionalFormatting sqref="K24:K24">
    <x:cfRule type="expression" dxfId="0" priority="533">
      <x:formula>WEEKDAY(K$10)=L$4</x:formula>
    </x:cfRule>
  </x:conditionalFormatting>
  <x:conditionalFormatting sqref="A25:B25">
    <x:cfRule type="expression" dxfId="0" priority="742">
      <x:formula>$B25="土"</x:formula>
    </x:cfRule>
    <x:cfRule type="expression" dxfId="0" priority="743">
      <x:formula>$B25="日"</x:formula>
    </x:cfRule>
  </x:conditionalFormatting>
  <x:conditionalFormatting sqref="D25:D25">
    <x:cfRule type="timePeriod" dxfId="1" priority="16" timePeriod="lastMonth">
      <x:formula>AND(MONTH(D25)=MONTH(EDATE(TODAY(),0-1)),YEAR(D25)=YEAR(EDATE(TODAY(),0-1)))</x:formula>
    </x:cfRule>
    <x:cfRule type="expression" dxfId="0" priority="17">
      <x:formula>$B25="土"</x:formula>
    </x:cfRule>
    <x:cfRule type="expression" dxfId="0" priority="18">
      <x:formula>$B25="日"</x:formula>
    </x:cfRule>
  </x:conditionalFormatting>
  <x:conditionalFormatting sqref="H27:I27">
    <x:cfRule type="expression" dxfId="0" priority="62">
      <x:formula>$B27="土"</x:formula>
    </x:cfRule>
    <x:cfRule type="expression" dxfId="0" priority="63">
      <x:formula>$B27="日"</x:formula>
    </x:cfRule>
    <x:cfRule type="timePeriod" dxfId="1" priority="64" timePeriod="lastMonth">
      <x:formula>AND(MONTH(H27)=MONTH(EDATE(TODAY(),0-1)),YEAR(H27)=YEAR(EDATE(TODAY(),0-1)))</x:formula>
    </x:cfRule>
  </x:conditionalFormatting>
  <x:conditionalFormatting sqref="J30:K30">
    <x:cfRule type="expression" dxfId="0" priority="478">
      <x:formula>$B30="土"</x:formula>
    </x:cfRule>
    <x:cfRule type="expression" dxfId="0" priority="479">
      <x:formula>$B30="日"</x:formula>
    </x:cfRule>
    <x:cfRule type="timePeriod" dxfId="1" priority="480" timePeriod="lastMonth">
      <x:formula>AND(MONTH(J30)=MONTH(EDATE(TODAY(),0-1)),YEAR(J30)=YEAR(EDATE(TODAY(),0-1)))</x:formula>
    </x:cfRule>
  </x:conditionalFormatting>
  <x:conditionalFormatting sqref="K31:K31">
    <x:cfRule type="expression" dxfId="0" priority="490">
      <x:formula>WEEKDAY(K$10)=L$4</x:formula>
    </x:cfRule>
  </x:conditionalFormatting>
  <x:conditionalFormatting sqref="J33:J33">
    <x:cfRule type="timePeriod" dxfId="1" priority="550" timePeriod="lastMonth">
      <x:formula>AND(MONTH(J33)=MONTH(EDATE(TODAY(),0-1)),YEAR(J33)=YEAR(EDATE(TODAY(),0-1)))</x:formula>
    </x:cfRule>
    <x:cfRule type="expression" dxfId="2" priority="548">
      <x:formula>$B33="日"</x:formula>
    </x:cfRule>
    <x:cfRule type="expression" dxfId="2" priority="549">
      <x:formula>$B33="土"</x:formula>
    </x:cfRule>
  </x:conditionalFormatting>
  <x:conditionalFormatting sqref="H34:I34">
    <x:cfRule type="expression" dxfId="0" priority="555">
      <x:formula>$B34="土"</x:formula>
    </x:cfRule>
    <x:cfRule type="expression" dxfId="0" priority="556">
      <x:formula>$B34="日"</x:formula>
    </x:cfRule>
    <x:cfRule type="timePeriod" dxfId="1" priority="557" timePeriod="lastMonth">
      <x:formula>AND(MONTH(H34)=MONTH(EDATE(TODAY(),0-1)),YEAR(H34)=YEAR(EDATE(TODAY(),0-1)))</x:formula>
    </x:cfRule>
  </x:conditionalFormatting>
  <x:conditionalFormatting sqref="J34:J34">
    <x:cfRule type="timePeriod" dxfId="1" priority="547" timePeriod="lastMonth">
      <x:formula>AND(MONTH(J34)=MONTH(EDATE(TODAY(),0-1)),YEAR(J34)=YEAR(EDATE(TODAY(),0-1)))</x:formula>
    </x:cfRule>
    <x:cfRule type="expression" dxfId="2" priority="545">
      <x:formula>$B34="日"</x:formula>
    </x:cfRule>
    <x:cfRule type="expression" dxfId="2" priority="546">
      <x:formula>$B34="土"</x:formula>
    </x:cfRule>
  </x:conditionalFormatting>
  <x:conditionalFormatting sqref="J35:J35">
    <x:cfRule type="timePeriod" dxfId="1" priority="670" timePeriod="lastMonth">
      <x:formula>AND(MONTH(J35)=MONTH(EDATE(TODAY(),0-1)),YEAR(J35)=YEAR(EDATE(TODAY(),0-1)))</x:formula>
    </x:cfRule>
    <x:cfRule type="expression" dxfId="2" priority="668">
      <x:formula>$B35="日"</x:formula>
    </x:cfRule>
    <x:cfRule type="expression" dxfId="2" priority="669">
      <x:formula>$B35="土"</x:formula>
    </x:cfRule>
  </x:conditionalFormatting>
  <x:conditionalFormatting sqref="I36:I36">
    <x:cfRule type="expression" dxfId="0" priority="20">
      <x:formula>$B36="土"</x:formula>
    </x:cfRule>
    <x:cfRule type="expression" dxfId="0" priority="21">
      <x:formula>$B36="日"</x:formula>
    </x:cfRule>
    <x:cfRule type="timePeriod" dxfId="1" priority="19" timePeriod="lastMonth">
      <x:formula>AND(MONTH(I36)=MONTH(EDATE(TODAY(),0-1)),YEAR(I36)=YEAR(EDATE(TODAY(),0-1)))</x:formula>
    </x:cfRule>
  </x:conditionalFormatting>
  <x:conditionalFormatting sqref="J36:J36">
    <x:cfRule type="expression" dxfId="0" priority="642">
      <x:formula>$B36="土"</x:formula>
    </x:cfRule>
    <x:cfRule type="expression" dxfId="0" priority="643">
      <x:formula>$B36="日"</x:formula>
    </x:cfRule>
    <x:cfRule type="timePeriod" dxfId="1" priority="644" timePeriod="lastMonth">
      <x:formula>AND(MONTH(J36)=MONTH(EDATE(TODAY(),0-1)),YEAR(J36)=YEAR(EDATE(TODAY(),0-1)))</x:formula>
    </x:cfRule>
  </x:conditionalFormatting>
  <x:conditionalFormatting sqref="B37:B37">
    <x:cfRule type="timePeriod" dxfId="1" priority="453" timePeriod="lastMonth">
      <x:formula>AND(MONTH(B37)=MONTH(EDATE(TODAY(),0-1)),YEAR(B37)=YEAR(EDATE(TODAY(),0-1)))</x:formula>
    </x:cfRule>
  </x:conditionalFormatting>
  <x:conditionalFormatting sqref="A38:B38">
    <x:cfRule type="expression" dxfId="0" priority="336">
      <x:formula>$B38="土"</x:formula>
    </x:cfRule>
    <x:cfRule type="expression" dxfId="0" priority="337">
      <x:formula>$B38="日"</x:formula>
    </x:cfRule>
  </x:conditionalFormatting>
  <x:conditionalFormatting sqref="B38:B38">
    <x:cfRule type="timePeriod" dxfId="1" priority="343" timePeriod="lastMonth">
      <x:formula>AND(MONTH(B38)=MONTH(EDATE(TODAY(),0-1)),YEAR(B38)=YEAR(EDATE(TODAY(),0-1)))</x:formula>
    </x:cfRule>
  </x:conditionalFormatting>
  <x:conditionalFormatting sqref="A39:B39">
    <x:cfRule type="expression" dxfId="0" priority="338">
      <x:formula>$B39="土"</x:formula>
    </x:cfRule>
    <x:cfRule type="expression" dxfId="0" priority="339">
      <x:formula>$B39="日"</x:formula>
    </x:cfRule>
  </x:conditionalFormatting>
  <x:conditionalFormatting sqref="B39:B39">
    <x:cfRule type="timePeriod" dxfId="1" priority="317" timePeriod="lastMonth">
      <x:formula>AND(MONTH(B39)=MONTH(EDATE(TODAY(),0-1)),YEAR(B39)=YEAR(EDATE(TODAY(),0-1)))</x:formula>
    </x:cfRule>
  </x:conditionalFormatting>
  <x:conditionalFormatting sqref="F39:F39">
    <x:cfRule type="timePeriod" dxfId="1" priority="44" timePeriod="lastMonth">
      <x:formula>AND(MONTH(F39)=MONTH(EDATE(TODAY(),0-1)),YEAR(F39)=YEAR(EDATE(TODAY(),0-1)))</x:formula>
    </x:cfRule>
    <x:cfRule type="expression" dxfId="0" priority="45">
      <x:formula>$B39="土"</x:formula>
    </x:cfRule>
    <x:cfRule type="expression" dxfId="0" priority="46">
      <x:formula>$B39="日"</x:formula>
    </x:cfRule>
    <x:cfRule type="timePeriod" dxfId="1" priority="41" timePeriod="lastMonth">
      <x:formula>AND(MONTH(F39)=MONTH(EDATE(TODAY(),0-1)),YEAR(F39)=YEAR(EDATE(TODAY(),0-1)))</x:formula>
    </x:cfRule>
    <x:cfRule type="expression" dxfId="0" priority="42">
      <x:formula>$B39="土"</x:formula>
    </x:cfRule>
    <x:cfRule type="expression" dxfId="0" priority="43">
      <x:formula>$B39="日"</x:formula>
    </x:cfRule>
    <x:cfRule type="timePeriod" dxfId="1" priority="38" timePeriod="lastMonth">
      <x:formula>AND(MONTH(F39)=MONTH(EDATE(TODAY(),0-1)),YEAR(F39)=YEAR(EDATE(TODAY(),0-1)))</x:formula>
    </x:cfRule>
    <x:cfRule type="expression" dxfId="0" priority="39">
      <x:formula>$B39="土"</x:formula>
    </x:cfRule>
    <x:cfRule type="expression" dxfId="0" priority="40">
      <x:formula>$B39="日"</x:formula>
    </x:cfRule>
  </x:conditionalFormatting>
  <x:conditionalFormatting sqref="J39:J39">
    <x:cfRule type="expression" dxfId="0" priority="302">
      <x:formula>$B39="土"</x:formula>
    </x:cfRule>
    <x:cfRule type="expression" dxfId="0" priority="303">
      <x:formula>$B39="日"</x:formula>
    </x:cfRule>
    <x:cfRule type="timePeriod" dxfId="1" priority="304" timePeriod="lastMonth">
      <x:formula>AND(MONTH(J39)=MONTH(EDATE(TODAY(),0-1)),YEAR(J39)=YEAR(EDATE(TODAY(),0-1)))</x:formula>
    </x:cfRule>
  </x:conditionalFormatting>
  <x:conditionalFormatting sqref="A40:B40">
    <x:cfRule type="expression" dxfId="0" priority="275">
      <x:formula>$B40="土"</x:formula>
    </x:cfRule>
    <x:cfRule type="expression" dxfId="0" priority="276">
      <x:formula>$B40="日"</x:formula>
    </x:cfRule>
  </x:conditionalFormatting>
  <x:conditionalFormatting sqref="B40:B40">
    <x:cfRule type="timePeriod" dxfId="1" priority="282" timePeriod="lastMonth">
      <x:formula>AND(MONTH(B40)=MONTH(EDATE(TODAY(),0-1)),YEAR(B40)=YEAR(EDATE(TODAY(),0-1)))</x:formula>
    </x:cfRule>
  </x:conditionalFormatting>
  <x:conditionalFormatting sqref="F40:F40">
    <x:cfRule type="timePeriod" dxfId="1" priority="263" timePeriod="lastMonth">
      <x:formula>AND(MONTH(F40)=MONTH(EDATE(TODAY(),0-1)),YEAR(F40)=YEAR(EDATE(TODAY(),0-1)))</x:formula>
    </x:cfRule>
    <x:cfRule type="expression" dxfId="0" priority="264">
      <x:formula>$B40="土"</x:formula>
    </x:cfRule>
    <x:cfRule type="expression" dxfId="0" priority="265">
      <x:formula>$B40="日"</x:formula>
    </x:cfRule>
    <x:cfRule type="timePeriod" dxfId="1" priority="260" timePeriod="lastMonth">
      <x:formula>AND(MONTH(F40)=MONTH(EDATE(TODAY(),0-1)),YEAR(F40)=YEAR(EDATE(TODAY(),0-1)))</x:formula>
    </x:cfRule>
    <x:cfRule type="expression" dxfId="0" priority="261">
      <x:formula>$B40="土"</x:formula>
    </x:cfRule>
    <x:cfRule type="expression" dxfId="0" priority="262">
      <x:formula>$B40="日"</x:formula>
    </x:cfRule>
    <x:cfRule type="timePeriod" dxfId="1" priority="257" timePeriod="lastMonth">
      <x:formula>AND(MONTH(F40)=MONTH(EDATE(TODAY(),0-1)),YEAR(F40)=YEAR(EDATE(TODAY(),0-1)))</x:formula>
    </x:cfRule>
    <x:cfRule type="expression" dxfId="0" priority="258">
      <x:formula>$B40="土"</x:formula>
    </x:cfRule>
    <x:cfRule type="expression" dxfId="0" priority="259">
      <x:formula>$B40="日"</x:formula>
    </x:cfRule>
  </x:conditionalFormatting>
  <x:conditionalFormatting sqref="J40:J40">
    <x:cfRule type="expression" dxfId="0" priority="266">
      <x:formula>$B40="土"</x:formula>
    </x:cfRule>
    <x:cfRule type="expression" dxfId="0" priority="267">
      <x:formula>$B40="日"</x:formula>
    </x:cfRule>
    <x:cfRule type="timePeriod" dxfId="1" priority="268" timePeriod="lastMonth">
      <x:formula>AND(MONTH(J40)=MONTH(EDATE(TODAY(),0-1)),YEAR(J40)=YEAR(EDATE(TODAY(),0-1)))</x:formula>
    </x:cfRule>
  </x:conditionalFormatting>
  <x:conditionalFormatting sqref="B19:B20">
    <x:cfRule type="timePeriod" dxfId="1" priority="596" timePeriod="lastMonth">
      <x:formula>AND(MONTH(B19)=MONTH(EDATE(TODAY(),0-1)),YEAR(B19)=YEAR(EDATE(TODAY(),0-1)))</x:formula>
    </x:cfRule>
  </x:conditionalFormatting>
  <x:conditionalFormatting sqref="B23:B24">
    <x:cfRule type="timePeriod" dxfId="1" priority="539" timePeriod="lastMonth">
      <x:formula>AND(MONTH(B23)=MONTH(EDATE(TODAY(),0-1)),YEAR(B23)=YEAR(EDATE(TODAY(),0-1)))</x:formula>
    </x:cfRule>
  </x:conditionalFormatting>
  <x:conditionalFormatting sqref="B26:B27">
    <x:cfRule type="timePeriod" dxfId="1" priority="578" timePeriod="lastMonth">
      <x:formula>AND(MONTH(B26)=MONTH(EDATE(TODAY(),0-1)),YEAR(B26)=YEAR(EDATE(TODAY(),0-1)))</x:formula>
    </x:cfRule>
  </x:conditionalFormatting>
  <x:conditionalFormatting sqref="B30:B31">
    <x:cfRule type="timePeriod" dxfId="1" priority="496" timePeriod="lastMonth">
      <x:formula>AND(MONTH(B30)=MONTH(EDATE(TODAY(),0-1)),YEAR(B30)=YEAR(EDATE(TODAY(),0-1)))</x:formula>
    </x:cfRule>
  </x:conditionalFormatting>
  <x:conditionalFormatting sqref="B33:B34">
    <x:cfRule type="timePeriod" dxfId="1" priority="560" timePeriod="lastMonth">
      <x:formula>AND(MONTH(B33)=MONTH(EDATE(TODAY(),0-1)),YEAR(B33)=YEAR(EDATE(TODAY(),0-1)))</x:formula>
    </x:cfRule>
  </x:conditionalFormatting>
  <x:conditionalFormatting sqref="E12:E14">
    <x:cfRule type="timePeriod" dxfId="1" priority="425" timePeriod="lastMonth">
      <x:formula>AND(MONTH(E12)=MONTH(EDATE(TODAY(),0-1)),YEAR(E12)=YEAR(EDATE(TODAY(),0-1)))</x:formula>
    </x:cfRule>
    <x:cfRule type="expression" dxfId="0" priority="426">
      <x:formula>$B12="土"</x:formula>
    </x:cfRule>
    <x:cfRule type="expression" dxfId="0" priority="427">
      <x:formula>$B12="日"</x:formula>
    </x:cfRule>
    <x:cfRule type="expression" dxfId="0" priority="429">
      <x:formula>$B12="土"</x:formula>
    </x:cfRule>
    <x:cfRule type="expression" dxfId="0" priority="430">
      <x:formula>$B12="日"</x:formula>
    </x:cfRule>
    <x:cfRule type="timePeriod" dxfId="1" priority="428" timePeriod="lastMonth">
      <x:formula>AND(MONTH(E12)=MONTH(EDATE(TODAY(),0-1)),YEAR(E12)=YEAR(EDATE(TODAY(),0-1)))</x:formula>
    </x:cfRule>
  </x:conditionalFormatting>
  <x:conditionalFormatting sqref="E16:E17">
    <x:cfRule type="timePeriod" dxfId="1" priority="627" timePeriod="lastMonth">
      <x:formula>AND(MONTH(E16)=MONTH(EDATE(TODAY(),0-1)),YEAR(E16)=YEAR(EDATE(TODAY(),0-1)))</x:formula>
    </x:cfRule>
    <x:cfRule type="expression" dxfId="0" priority="628">
      <x:formula>$B16="土"</x:formula>
    </x:cfRule>
    <x:cfRule type="expression" dxfId="0" priority="629">
      <x:formula>$B16="日"</x:formula>
    </x:cfRule>
  </x:conditionalFormatting>
  <x:conditionalFormatting sqref="E18:E22">
    <x:cfRule type="timePeriod" dxfId="1" priority="135" timePeriod="lastMonth">
      <x:formula>AND(MONTH(E18)=MONTH(EDATE(TODAY(),0-1)),YEAR(E18)=YEAR(EDATE(TODAY(),0-1)))</x:formula>
    </x:cfRule>
    <x:cfRule type="expression" dxfId="0" priority="136">
      <x:formula>$B18="土"</x:formula>
    </x:cfRule>
    <x:cfRule type="expression" dxfId="0" priority="137">
      <x:formula>$B18="日"</x:formula>
    </x:cfRule>
    <x:cfRule type="timePeriod" dxfId="1" priority="132" timePeriod="lastMonth">
      <x:formula>AND(MONTH(E18)=MONTH(EDATE(TODAY(),0-1)),YEAR(E18)=YEAR(EDATE(TODAY(),0-1)))</x:formula>
    </x:cfRule>
    <x:cfRule type="expression" dxfId="0" priority="133">
      <x:formula>$B18="土"</x:formula>
    </x:cfRule>
    <x:cfRule type="expression" dxfId="0" priority="134">
      <x:formula>$B18="日"</x:formula>
    </x:cfRule>
  </x:conditionalFormatting>
  <x:conditionalFormatting sqref="E25:E29">
    <x:cfRule type="timePeriod" dxfId="1" priority="123" timePeriod="lastMonth">
      <x:formula>AND(MONTH(E25)=MONTH(EDATE(TODAY(),0-1)),YEAR(E25)=YEAR(EDATE(TODAY(),0-1)))</x:formula>
    </x:cfRule>
    <x:cfRule type="expression" dxfId="0" priority="124">
      <x:formula>$B25="土"</x:formula>
    </x:cfRule>
    <x:cfRule type="expression" dxfId="0" priority="125">
      <x:formula>$B25="日"</x:formula>
    </x:cfRule>
    <x:cfRule type="expression" dxfId="0" priority="127">
      <x:formula>$B25="土"</x:formula>
    </x:cfRule>
    <x:cfRule type="expression" dxfId="0" priority="128">
      <x:formula>$B25="日"</x:formula>
    </x:cfRule>
    <x:cfRule type="timePeriod" dxfId="1" priority="126" timePeriod="lastMonth">
      <x:formula>AND(MONTH(E25)=MONTH(EDATE(TODAY(),0-1)),YEAR(E25)=YEAR(EDATE(TODAY(),0-1)))</x:formula>
    </x:cfRule>
  </x:conditionalFormatting>
  <x:conditionalFormatting sqref="E32:E36">
    <x:cfRule type="timePeriod" dxfId="1" priority="114" timePeriod="lastMonth">
      <x:formula>AND(MONTH(E32)=MONTH(EDATE(TODAY(),0-1)),YEAR(E32)=YEAR(EDATE(TODAY(),0-1)))</x:formula>
    </x:cfRule>
    <x:cfRule type="expression" dxfId="0" priority="115">
      <x:formula>$B32="土"</x:formula>
    </x:cfRule>
    <x:cfRule type="expression" dxfId="0" priority="116">
      <x:formula>$B32="日"</x:formula>
    </x:cfRule>
    <x:cfRule type="expression" dxfId="0" priority="118">
      <x:formula>$B32="土"</x:formula>
    </x:cfRule>
    <x:cfRule type="expression" dxfId="0" priority="119">
      <x:formula>$B32="日"</x:formula>
    </x:cfRule>
    <x:cfRule type="timePeriod" dxfId="1" priority="117" timePeriod="lastMonth">
      <x:formula>AND(MONTH(E32)=MONTH(EDATE(TODAY(),0-1)),YEAR(E32)=YEAR(EDATE(TODAY(),0-1)))</x:formula>
    </x:cfRule>
  </x:conditionalFormatting>
  <x:conditionalFormatting sqref="E39:E40">
    <x:cfRule type="timePeriod" dxfId="1" priority="105" timePeriod="lastMonth">
      <x:formula>AND(MONTH(E39)=MONTH(EDATE(TODAY(),0-1)),YEAR(E39)=YEAR(EDATE(TODAY(),0-1)))</x:formula>
    </x:cfRule>
    <x:cfRule type="expression" dxfId="0" priority="106">
      <x:formula>$B39="土"</x:formula>
    </x:cfRule>
    <x:cfRule type="expression" dxfId="0" priority="107">
      <x:formula>$B39="日"</x:formula>
    </x:cfRule>
    <x:cfRule type="expression" dxfId="0" priority="109">
      <x:formula>$B39="土"</x:formula>
    </x:cfRule>
    <x:cfRule type="expression" dxfId="0" priority="110">
      <x:formula>$B39="日"</x:formula>
    </x:cfRule>
    <x:cfRule type="timePeriod" dxfId="1" priority="108" timePeriod="lastMonth">
      <x:formula>AND(MONTH(E39)=MONTH(EDATE(TODAY(),0-1)),YEAR(E39)=YEAR(EDATE(TODAY(),0-1)))</x:formula>
    </x:cfRule>
  </x:conditionalFormatting>
  <x:conditionalFormatting sqref="F11:F15">
    <x:cfRule type="timePeriod" dxfId="1" priority="618" timePeriod="lastMonth">
      <x:formula>AND(MONTH(F11)=MONTH(EDATE(TODAY(),0-1)),YEAR(F11)=YEAR(EDATE(TODAY(),0-1)))</x:formula>
    </x:cfRule>
    <x:cfRule type="expression" dxfId="0" priority="619">
      <x:formula>$B11="土"</x:formula>
    </x:cfRule>
    <x:cfRule type="expression" dxfId="0" priority="620">
      <x:formula>$B11="日"</x:formula>
    </x:cfRule>
  </x:conditionalFormatting>
  <x:conditionalFormatting sqref="F18:F22">
    <x:cfRule type="timePeriod" dxfId="1" priority="603" timePeriod="lastMonth">
      <x:formula>AND(MONTH(F18)=MONTH(EDATE(TODAY(),0-1)),YEAR(F18)=YEAR(EDATE(TODAY(),0-1)))</x:formula>
    </x:cfRule>
    <x:cfRule type="expression" dxfId="0" priority="604">
      <x:formula>$B18="土"</x:formula>
    </x:cfRule>
    <x:cfRule type="expression" dxfId="0" priority="605">
      <x:formula>$B18="日"</x:formula>
    </x:cfRule>
  </x:conditionalFormatting>
  <x:conditionalFormatting sqref="F25:F29">
    <x:cfRule type="expression" dxfId="0" priority="601">
      <x:formula>$B25="土"</x:formula>
    </x:cfRule>
    <x:cfRule type="expression" dxfId="0" priority="602">
      <x:formula>$B25="日"</x:formula>
    </x:cfRule>
    <x:cfRule type="timePeriod" dxfId="1" priority="600" timePeriod="lastMonth">
      <x:formula>AND(MONTH(F25)=MONTH(EDATE(TODAY(),0-1)),YEAR(F25)=YEAR(EDATE(TODAY(),0-1)))</x:formula>
    </x:cfRule>
  </x:conditionalFormatting>
  <x:conditionalFormatting sqref="F32:F36">
    <x:cfRule type="timePeriod" dxfId="1" priority="597" timePeriod="lastMonth">
      <x:formula>AND(MONTH(F32)=MONTH(EDATE(TODAY(),0-1)),YEAR(F32)=YEAR(EDATE(TODAY(),0-1)))</x:formula>
    </x:cfRule>
    <x:cfRule type="expression" dxfId="0" priority="598">
      <x:formula>$B32="土"</x:formula>
    </x:cfRule>
    <x:cfRule type="expression" dxfId="0" priority="599">
      <x:formula>$B32="日"</x:formula>
    </x:cfRule>
  </x:conditionalFormatting>
  <x:conditionalFormatting sqref="H39:H40">
    <x:cfRule type="expression" dxfId="0" priority="13">
      <x:formula>$B39="土"</x:formula>
    </x:cfRule>
    <x:cfRule type="expression" dxfId="0" priority="14">
      <x:formula>$B39="日"</x:formula>
    </x:cfRule>
    <x:cfRule type="timePeriod" dxfId="1" priority="15" timePeriod="lastMonth">
      <x:formula>AND(MONTH(H39)=MONTH(EDATE(TODAY(),0-1)),YEAR(H39)=YEAR(EDATE(TODAY(),0-1)))</x:formula>
    </x:cfRule>
  </x:conditionalFormatting>
  <x:conditionalFormatting sqref="I39:I40">
    <x:cfRule type="expression" dxfId="0" priority="11">
      <x:formula>$B39="土"</x:formula>
    </x:cfRule>
    <x:cfRule type="expression" dxfId="0" priority="12">
      <x:formula>$B39="日"</x:formula>
    </x:cfRule>
    <x:cfRule type="timePeriod" dxfId="1" priority="10" timePeriod="lastMonth">
      <x:formula>AND(MONTH(I39)=MONTH(EDATE(TODAY(),0-1)),YEAR(I39)=YEAR(EDATE(TODAY(),0-1)))</x:formula>
    </x:cfRule>
  </x:conditionalFormatting>
  <x:conditionalFormatting sqref="J25:J29">
    <x:cfRule type="expression" dxfId="0" priority="56">
      <x:formula>$B25="土"</x:formula>
    </x:cfRule>
    <x:cfRule type="expression" dxfId="0" priority="57">
      <x:formula>$B25="日"</x:formula>
    </x:cfRule>
    <x:cfRule type="timePeriod" dxfId="1" priority="58" timePeriod="lastMonth">
      <x:formula>AND(MONTH(J25)=MONTH(EDATE(TODAY(),0-1)),YEAR(J25)=YEAR(EDATE(TODAY(),0-1)))</x:formula>
    </x:cfRule>
  </x:conditionalFormatting>
  <x:conditionalFormatting sqref="K11:K13">
    <x:cfRule type="timePeriod" dxfId="1" priority="103" timePeriod="lastMonth">
      <x:formula>AND(MONTH(K11)=MONTH(EDATE(TODAY(),0-1)),YEAR(K11)=YEAR(EDATE(TODAY(),0-1)))</x:formula>
    </x:cfRule>
    <x:cfRule type="expression" dxfId="0" priority="104">
      <x:formula>WEEKDAY(K$10)=L$4</x:formula>
    </x:cfRule>
  </x:conditionalFormatting>
  <x:conditionalFormatting sqref="K14:K15">
    <x:cfRule type="timePeriod" dxfId="1" priority="30" timePeriod="lastMonth">
      <x:formula>AND(MONTH(K14)=MONTH(EDATE(TODAY(),0-1)),YEAR(K14)=YEAR(EDATE(TODAY(),0-1)))</x:formula>
    </x:cfRule>
    <x:cfRule type="expression" dxfId="3" priority="31">
      <x:formula>WEEKDAY(K$10)=L$4</x:formula>
    </x:cfRule>
  </x:conditionalFormatting>
  <x:conditionalFormatting sqref="K18:K22">
    <x:cfRule type="timePeriod" dxfId="1" priority="28" timePeriod="lastMonth">
      <x:formula>AND(MONTH(K18)=MONTH(EDATE(TODAY(),0-1)),YEAR(K18)=YEAR(EDATE(TODAY(),0-1)))</x:formula>
    </x:cfRule>
    <x:cfRule type="expression" dxfId="3" priority="29">
      <x:formula>WEEKDAY(K$10)=L$4</x:formula>
    </x:cfRule>
  </x:conditionalFormatting>
  <x:conditionalFormatting sqref="K25:K29">
    <x:cfRule type="timePeriod" dxfId="1" priority="26" timePeriod="lastMonth">
      <x:formula>AND(MONTH(K25)=MONTH(EDATE(TODAY(),0-1)),YEAR(K25)=YEAR(EDATE(TODAY(),0-1)))</x:formula>
    </x:cfRule>
    <x:cfRule type="expression" dxfId="3" priority="27">
      <x:formula>WEEKDAY(K$10)=L$4</x:formula>
    </x:cfRule>
  </x:conditionalFormatting>
  <x:conditionalFormatting sqref="K32:K33">
    <x:cfRule type="timePeriod" dxfId="1" priority="24" timePeriod="lastMonth">
      <x:formula>AND(MONTH(K32)=MONTH(EDATE(TODAY(),0-1)),YEAR(K32)=YEAR(EDATE(TODAY(),0-1)))</x:formula>
    </x:cfRule>
    <x:cfRule type="expression" dxfId="3" priority="25">
      <x:formula>WEEKDAY(K$10)=L$4</x:formula>
    </x:cfRule>
  </x:conditionalFormatting>
  <x:conditionalFormatting sqref="K34:K36">
    <x:cfRule type="timePeriod" dxfId="1" priority="97" timePeriod="lastMonth">
      <x:formula>AND(MONTH(K34)=MONTH(EDATE(TODAY(),0-1)),YEAR(K34)=YEAR(EDATE(TODAY(),0-1)))</x:formula>
    </x:cfRule>
    <x:cfRule type="expression" dxfId="0" priority="98">
      <x:formula>WEEKDAY(K$10)=L$4</x:formula>
    </x:cfRule>
  </x:conditionalFormatting>
  <x:conditionalFormatting sqref="K39:K40">
    <x:cfRule type="timePeriod" dxfId="1" priority="95" timePeriod="lastMonth">
      <x:formula>AND(MONTH(K39)=MONTH(EDATE(TODAY(),0-1)),YEAR(K39)=YEAR(EDATE(TODAY(),0-1)))</x:formula>
    </x:cfRule>
    <x:cfRule type="expression" dxfId="0" priority="96">
      <x:formula>WEEKDAY(K$10)=L$4</x:formula>
    </x:cfRule>
  </x:conditionalFormatting>
  <x:conditionalFormatting sqref="A10:B18 A21:B22">
    <x:cfRule type="expression" dxfId="0" priority="748">
      <x:formula>$B10="土"</x:formula>
    </x:cfRule>
    <x:cfRule type="expression" dxfId="0" priority="749">
      <x:formula>$B10="日"</x:formula>
    </x:cfRule>
  </x:conditionalFormatting>
  <x:conditionalFormatting sqref="B10:B18 B21:B22 B28:B29 B35:B36 B25:B25 B32:B32 E23:G23 F24:G24">
    <x:cfRule type="timePeriod" dxfId="1" priority="750" timePeriod="lastMonth">
      <x:formula>AND(MONTH(B10)=MONTH(EDATE(TODAY(),0-1)),YEAR(B10)=YEAR(EDATE(TODAY(),0-1)))</x:formula>
    </x:cfRule>
  </x:conditionalFormatting>
  <x:conditionalFormatting sqref="C10:E11 E15:E17 F10:F10">
    <x:cfRule type="timePeriod" dxfId="1" priority="639" timePeriod="lastMonth">
      <x:formula>AND(MONTH(C10)=MONTH(EDATE(TODAY(),0-1)),YEAR(C10)=YEAR(EDATE(TODAY(),0-1)))</x:formula>
    </x:cfRule>
    <x:cfRule type="expression" dxfId="0" priority="640">
      <x:formula>$B10="土"</x:formula>
    </x:cfRule>
    <x:cfRule type="expression" dxfId="0" priority="641">
      <x:formula>$B10="日"</x:formula>
    </x:cfRule>
  </x:conditionalFormatting>
  <x:conditionalFormatting sqref="E10:E11 E15:E17 F10:F10">
    <x:cfRule type="timePeriod" dxfId="1" priority="630" timePeriod="lastMonth">
      <x:formula>AND(MONTH(E10)=MONTH(EDATE(TODAY(),0-1)),YEAR(E10)=YEAR(EDATE(TODAY(),0-1)))</x:formula>
    </x:cfRule>
    <x:cfRule type="expression" dxfId="0" priority="631">
      <x:formula>$B10="土"</x:formula>
    </x:cfRule>
    <x:cfRule type="expression" dxfId="0" priority="632">
      <x:formula>$B10="日"</x:formula>
    </x:cfRule>
  </x:conditionalFormatting>
  <x:conditionalFormatting sqref="F11:F15 F25:F29 F32:F36 F18:F22">
    <x:cfRule type="timePeriod" dxfId="1" priority="621" timePeriod="lastMonth">
      <x:formula>AND(MONTH(F11)=MONTH(EDATE(TODAY(),0-1)),YEAR(F11)=YEAR(EDATE(TODAY(),0-1)))</x:formula>
    </x:cfRule>
    <x:cfRule type="expression" dxfId="0" priority="622">
      <x:formula>$B11="土"</x:formula>
    </x:cfRule>
    <x:cfRule type="expression" dxfId="0" priority="623">
      <x:formula>$B11="日"</x:formula>
    </x:cfRule>
    <x:cfRule type="timePeriod" dxfId="1" priority="609" timePeriod="lastMonth">
      <x:formula>AND(MONTH(F11)=MONTH(EDATE(TODAY(),0-1)),YEAR(F11)=YEAR(EDATE(TODAY(),0-1)))</x:formula>
    </x:cfRule>
    <x:cfRule type="expression" dxfId="0" priority="610">
      <x:formula>$B11="土"</x:formula>
    </x:cfRule>
    <x:cfRule type="expression" dxfId="0" priority="611">
      <x:formula>$B11="日"</x:formula>
    </x:cfRule>
  </x:conditionalFormatting>
  <x:conditionalFormatting sqref="G11:G15 G18:G22 G25:G29 G32:G36 G39:G40">
    <x:cfRule type="timePeriod" dxfId="1" priority="4" timePeriod="lastMonth">
      <x:formula>AND(MONTH(G11)=MONTH(EDATE(TODAY(),0-1)),YEAR(G11)=YEAR(EDATE(TODAY(),0-1)))</x:formula>
    </x:cfRule>
    <x:cfRule type="timePeriod" dxfId="1" priority="1" timePeriod="lastMonth">
      <x:formula>AND(MONTH(G11)=MONTH(EDATE(TODAY(),0-1)),YEAR(G11)=YEAR(EDATE(TODAY(),0-1)))</x:formula>
    </x:cfRule>
    <x:cfRule type="timePeriod" dxfId="1" priority="7" timePeriod="lastMonth">
      <x:formula>AND(MONTH(G11)=MONTH(EDATE(TODAY(),0-1)),YEAR(G11)=YEAR(EDATE(TODAY(),0-1)))</x:formula>
    </x:cfRule>
    <x:cfRule type="expression" dxfId="0" priority="8">
      <x:formula>$B11="土"</x:formula>
    </x:cfRule>
    <x:cfRule type="expression" dxfId="0" priority="9">
      <x:formula>$B11="日"</x:formula>
    </x:cfRule>
    <x:cfRule type="expression" dxfId="0" priority="5">
      <x:formula>$B11="土"</x:formula>
    </x:cfRule>
    <x:cfRule type="expression" dxfId="0" priority="6">
      <x:formula>$B11="日"</x:formula>
    </x:cfRule>
    <x:cfRule type="expression" dxfId="0" priority="2">
      <x:formula>$B11="土"</x:formula>
    </x:cfRule>
    <x:cfRule type="expression" dxfId="0" priority="3">
      <x:formula>$B11="日"</x:formula>
    </x:cfRule>
  </x:conditionalFormatting>
  <x:conditionalFormatting sqref="H11:J11 H32:J32 H33:I33">
    <x:cfRule type="timePeriod" dxfId="1" priority="738" timePeriod="lastMonth">
      <x:formula>AND(MONTH(H11)=MONTH(EDATE(TODAY(),0-1)),YEAR(H11)=YEAR(EDATE(TODAY(),0-1)))</x:formula>
    </x:cfRule>
  </x:conditionalFormatting>
  <x:conditionalFormatting sqref="C12:E14">
    <x:cfRule type="timePeriod" dxfId="1" priority="431" timePeriod="lastMonth">
      <x:formula>AND(MONTH(C12)=MONTH(EDATE(TODAY(),0-1)),YEAR(C12)=YEAR(EDATE(TODAY(),0-1)))</x:formula>
    </x:cfRule>
    <x:cfRule type="expression" dxfId="0" priority="432">
      <x:formula>$B12="土"</x:formula>
    </x:cfRule>
    <x:cfRule type="expression" dxfId="0" priority="433">
      <x:formula>$B12="日"</x:formula>
    </x:cfRule>
  </x:conditionalFormatting>
  <x:conditionalFormatting sqref="H17:J17 H13:I13 H16:I16 H14:H15">
    <x:cfRule type="expression" dxfId="0" priority="727">
      <x:formula>$B13="土"</x:formula>
    </x:cfRule>
    <x:cfRule type="expression" dxfId="0" priority="728">
      <x:formula>$B13="日"</x:formula>
    </x:cfRule>
  </x:conditionalFormatting>
  <x:conditionalFormatting sqref="H17:K17 H13:I13 H16:I16 H14:H15">
    <x:cfRule type="timePeriod" dxfId="1" priority="729" timePeriod="lastMonth">
      <x:formula>AND(MONTH(H13)=MONTH(EDATE(TODAY(),0-1)),YEAR(H13)=YEAR(EDATE(TODAY(),0-1)))</x:formula>
    </x:cfRule>
  </x:conditionalFormatting>
  <x:conditionalFormatting sqref="C15:D17">
    <x:cfRule type="timePeriod" dxfId="1" priority="540" timePeriod="lastMonth">
      <x:formula>AND(MONTH(C15)=MONTH(EDATE(TODAY(),0-1)),YEAR(C15)=YEAR(EDATE(TODAY(),0-1)))</x:formula>
    </x:cfRule>
    <x:cfRule type="expression" dxfId="0" priority="541">
      <x:formula>$B15="土"</x:formula>
    </x:cfRule>
    <x:cfRule type="expression" dxfId="0" priority="542">
      <x:formula>$B15="日"</x:formula>
    </x:cfRule>
  </x:conditionalFormatting>
  <x:conditionalFormatting sqref="J16:K16 J15:J15">
    <x:cfRule type="expression" dxfId="0" priority="651">
      <x:formula>$B15="土"</x:formula>
    </x:cfRule>
    <x:cfRule type="expression" dxfId="0" priority="652">
      <x:formula>$B15="日"</x:formula>
    </x:cfRule>
    <x:cfRule type="timePeriod" dxfId="1" priority="653" timePeriod="lastMonth">
      <x:formula>AND(MONTH(J15)=MONTH(EDATE(TODAY(),0-1)),YEAR(J15)=YEAR(EDATE(TODAY(),0-1)))</x:formula>
    </x:cfRule>
  </x:conditionalFormatting>
  <x:conditionalFormatting sqref="F16:G17">
    <x:cfRule type="timePeriod" dxfId="1" priority="677" timePeriod="lastMonth">
      <x:formula>AND(MONTH(F16)=MONTH(EDATE(TODAY(),0-1)),YEAR(F16)=YEAR(EDATE(TODAY(),0-1)))</x:formula>
    </x:cfRule>
    <x:cfRule type="expression" dxfId="0" priority="678">
      <x:formula>$B16="土"</x:formula>
    </x:cfRule>
    <x:cfRule type="expression" dxfId="0" priority="679">
      <x:formula>$B16="日"</x:formula>
    </x:cfRule>
  </x:conditionalFormatting>
  <x:conditionalFormatting sqref="C18:E22">
    <x:cfRule type="timePeriod" dxfId="1" priority="138" timePeriod="lastMonth">
      <x:formula>AND(MONTH(C18)=MONTH(EDATE(TODAY(),0-1)),YEAR(C18)=YEAR(EDATE(TODAY(),0-1)))</x:formula>
    </x:cfRule>
    <x:cfRule type="expression" dxfId="0" priority="139">
      <x:formula>$B18="土"</x:formula>
    </x:cfRule>
    <x:cfRule type="expression" dxfId="0" priority="140">
      <x:formula>$B18="日"</x:formula>
    </x:cfRule>
  </x:conditionalFormatting>
  <x:conditionalFormatting sqref="H18:I19">
    <x:cfRule type="expression" dxfId="0" priority="89">
      <x:formula>$B18="土"</x:formula>
    </x:cfRule>
    <x:cfRule type="expression" dxfId="0" priority="90">
      <x:formula>$B18="日"</x:formula>
    </x:cfRule>
    <x:cfRule type="timePeriod" dxfId="1" priority="91" timePeriod="lastMonth">
      <x:formula>AND(MONTH(H18)=MONTH(EDATE(TODAY(),0-1)),YEAR(H18)=YEAR(EDATE(TODAY(),0-1)))</x:formula>
    </x:cfRule>
  </x:conditionalFormatting>
  <x:conditionalFormatting sqref="A19:B20">
    <x:cfRule type="expression" dxfId="0" priority="594">
      <x:formula>$B19="土"</x:formula>
    </x:cfRule>
    <x:cfRule type="expression" dxfId="0" priority="595">
      <x:formula>$B19="日"</x:formula>
    </x:cfRule>
  </x:conditionalFormatting>
  <x:conditionalFormatting sqref="H20:I21">
    <x:cfRule type="expression" dxfId="0" priority="80">
      <x:formula>$B20="土"</x:formula>
    </x:cfRule>
    <x:cfRule type="expression" dxfId="0" priority="81">
      <x:formula>$B20="日"</x:formula>
    </x:cfRule>
    <x:cfRule type="timePeriod" dxfId="1" priority="82" timePeriod="lastMonth">
      <x:formula>AND(MONTH(H20)=MONTH(EDATE(TODAY(),0-1)),YEAR(H20)=YEAR(EDATE(TODAY(),0-1)))</x:formula>
    </x:cfRule>
  </x:conditionalFormatting>
  <x:conditionalFormatting sqref="A28:B29 E23:G23 F24:G24 A37:G37 C38:G38">
    <x:cfRule type="expression" dxfId="0" priority="722">
      <x:formula>$B23="土"</x:formula>
    </x:cfRule>
    <x:cfRule type="expression" dxfId="0" priority="723">
      <x:formula>$B23="日"</x:formula>
    </x:cfRule>
  </x:conditionalFormatting>
  <x:conditionalFormatting sqref="A23:B24">
    <x:cfRule type="expression" dxfId="0" priority="537">
      <x:formula>$B23="土"</x:formula>
    </x:cfRule>
    <x:cfRule type="expression" dxfId="0" priority="538">
      <x:formula>$B23="日"</x:formula>
    </x:cfRule>
  </x:conditionalFormatting>
  <x:conditionalFormatting sqref="C23:D24">
    <x:cfRule type="timePeriod" dxfId="1" priority="497" timePeriod="lastMonth">
      <x:formula>AND(MONTH(C23)=MONTH(EDATE(TODAY(),0-1)),YEAR(C23)=YEAR(EDATE(TODAY(),0-1)))</x:formula>
    </x:cfRule>
    <x:cfRule type="expression" dxfId="0" priority="498">
      <x:formula>$B23="土"</x:formula>
    </x:cfRule>
    <x:cfRule type="expression" dxfId="0" priority="499">
      <x:formula>$B23="日"</x:formula>
    </x:cfRule>
  </x:conditionalFormatting>
  <x:conditionalFormatting sqref="E23:G23 F24:G24 E37:G38">
    <x:cfRule type="timePeriod" dxfId="1" priority="731" timePeriod="lastMonth">
      <x:formula>AND(MONTH(E23)=MONTH(EDATE(TODAY(),0-1)),YEAR(E23)=YEAR(EDATE(TODAY(),0-1)))</x:formula>
    </x:cfRule>
    <x:cfRule type="expression" dxfId="0" priority="732">
      <x:formula>$B23="土"</x:formula>
    </x:cfRule>
    <x:cfRule type="expression" dxfId="0" priority="733">
      <x:formula>$B23="日"</x:formula>
    </x:cfRule>
  </x:conditionalFormatting>
  <x:conditionalFormatting sqref="F23:G24">
    <x:cfRule type="timePeriod" dxfId="1" priority="534" timePeriod="lastMonth">
      <x:formula>AND(MONTH(F23)=MONTH(EDATE(TODAY(),0-1)),YEAR(F23)=YEAR(EDATE(TODAY(),0-1)))</x:formula>
    </x:cfRule>
    <x:cfRule type="expression" dxfId="0" priority="535">
      <x:formula>$B23="土"</x:formula>
    </x:cfRule>
    <x:cfRule type="expression" dxfId="0" priority="536">
      <x:formula>$B23="日"</x:formula>
    </x:cfRule>
    <x:cfRule type="timePeriod" dxfId="1" priority="506" timePeriod="lastMonth">
      <x:formula>AND(MONTH(F23)=MONTH(EDATE(TODAY(),0-1)),YEAR(F23)=YEAR(EDATE(TODAY(),0-1)))</x:formula>
    </x:cfRule>
    <x:cfRule type="expression" dxfId="0" priority="507">
      <x:formula>$B23="土"</x:formula>
    </x:cfRule>
    <x:cfRule type="expression" dxfId="0" priority="508">
      <x:formula>$B23="日"</x:formula>
    </x:cfRule>
    <x:cfRule type="timePeriod" dxfId="1" priority="503" timePeriod="lastMonth">
      <x:formula>AND(MONTH(F23)=MONTH(EDATE(TODAY(),0-1)),YEAR(F23)=YEAR(EDATE(TODAY(),0-1)))</x:formula>
    </x:cfRule>
    <x:cfRule type="expression" dxfId="0" priority="504">
      <x:formula>$B23="土"</x:formula>
    </x:cfRule>
    <x:cfRule type="expression" dxfId="0" priority="505">
      <x:formula>$B23="日"</x:formula>
    </x:cfRule>
  </x:conditionalFormatting>
  <x:conditionalFormatting sqref="H24:J24 H23:I23">
    <x:cfRule type="expression" dxfId="0" priority="530">
      <x:formula>$B23="土"</x:formula>
    </x:cfRule>
    <x:cfRule type="expression" dxfId="0" priority="531">
      <x:formula>$B23="日"</x:formula>
    </x:cfRule>
  </x:conditionalFormatting>
  <x:conditionalFormatting sqref="H24:K24 H23:I23">
    <x:cfRule type="timePeriod" dxfId="1" priority="532" timePeriod="lastMonth">
      <x:formula>AND(MONTH(H23)=MONTH(EDATE(TODAY(),0-1)),YEAR(H23)=YEAR(EDATE(TODAY(),0-1)))</x:formula>
    </x:cfRule>
  </x:conditionalFormatting>
  <x:conditionalFormatting sqref="C26:E29 C25:C25 E25:E25">
    <x:cfRule type="timePeriod" dxfId="1" priority="129" timePeriod="lastMonth">
      <x:formula>AND(MONTH(C25)=MONTH(EDATE(TODAY(),0-1)),YEAR(C25)=YEAR(EDATE(TODAY(),0-1)))</x:formula>
    </x:cfRule>
    <x:cfRule type="expression" dxfId="0" priority="130">
      <x:formula>$B25="土"</x:formula>
    </x:cfRule>
    <x:cfRule type="expression" dxfId="0" priority="131">
      <x:formula>$B25="日"</x:formula>
    </x:cfRule>
  </x:conditionalFormatting>
  <x:conditionalFormatting sqref="H25:I26">
    <x:cfRule type="expression" dxfId="0" priority="65">
      <x:formula>$B25="土"</x:formula>
    </x:cfRule>
    <x:cfRule type="expression" dxfId="0" priority="66">
      <x:formula>$B25="日"</x:formula>
    </x:cfRule>
    <x:cfRule type="timePeriod" dxfId="1" priority="67" timePeriod="lastMonth">
      <x:formula>AND(MONTH(H25)=MONTH(EDATE(TODAY(),0-1)),YEAR(H25)=YEAR(EDATE(TODAY(),0-1)))</x:formula>
    </x:cfRule>
  </x:conditionalFormatting>
  <x:conditionalFormatting sqref="A26:B27">
    <x:cfRule type="expression" dxfId="0" priority="576">
      <x:formula>$B26="土"</x:formula>
    </x:cfRule>
    <x:cfRule type="expression" dxfId="0" priority="577">
      <x:formula>$B26="日"</x:formula>
    </x:cfRule>
  </x:conditionalFormatting>
  <x:conditionalFormatting sqref="H28:I29">
    <x:cfRule type="expression" dxfId="0" priority="718">
      <x:formula>$B28="土"</x:formula>
    </x:cfRule>
    <x:cfRule type="expression" dxfId="0" priority="719">
      <x:formula>$B28="日"</x:formula>
    </x:cfRule>
    <x:cfRule type="timePeriod" dxfId="1" priority="720" timePeriod="lastMonth">
      <x:formula>AND(MONTH(H28)=MONTH(EDATE(TODAY(),0-1)),YEAR(H28)=YEAR(EDATE(TODAY(),0-1)))</x:formula>
    </x:cfRule>
  </x:conditionalFormatting>
  <x:conditionalFormatting sqref="A30:B31">
    <x:cfRule type="expression" dxfId="0" priority="494">
      <x:formula>$B30="土"</x:formula>
    </x:cfRule>
    <x:cfRule type="expression" dxfId="0" priority="495">
      <x:formula>$B30="日"</x:formula>
    </x:cfRule>
  </x:conditionalFormatting>
  <x:conditionalFormatting sqref="C30:D31">
    <x:cfRule type="timePeriod" dxfId="1" priority="454" timePeriod="lastMonth">
      <x:formula>AND(MONTH(C30)=MONTH(EDATE(TODAY(),0-1)),YEAR(C30)=YEAR(EDATE(TODAY(),0-1)))</x:formula>
    </x:cfRule>
    <x:cfRule type="expression" dxfId="0" priority="455">
      <x:formula>$B30="土"</x:formula>
    </x:cfRule>
    <x:cfRule type="expression" dxfId="0" priority="456">
      <x:formula>$B30="日"</x:formula>
    </x:cfRule>
  </x:conditionalFormatting>
  <x:conditionalFormatting sqref="E30:G31">
    <x:cfRule type="timePeriod" dxfId="1" priority="484" timePeriod="lastMonth">
      <x:formula>AND(MONTH(E30)=MONTH(EDATE(TODAY(),0-1)),YEAR(E30)=YEAR(EDATE(TODAY(),0-1)))</x:formula>
    </x:cfRule>
    <x:cfRule type="expression" dxfId="0" priority="485">
      <x:formula>$B30="土"</x:formula>
    </x:cfRule>
    <x:cfRule type="expression" dxfId="0" priority="486">
      <x:formula>$B30="日"</x:formula>
    </x:cfRule>
    <x:cfRule type="timePeriod" dxfId="1" priority="475" timePeriod="lastMonth">
      <x:formula>AND(MONTH(E30)=MONTH(EDATE(TODAY(),0-1)),YEAR(E30)=YEAR(EDATE(TODAY(),0-1)))</x:formula>
    </x:cfRule>
    <x:cfRule type="expression" dxfId="0" priority="476">
      <x:formula>$B30="土"</x:formula>
    </x:cfRule>
    <x:cfRule type="expression" dxfId="0" priority="477">
      <x:formula>$B30="日"</x:formula>
    </x:cfRule>
    <x:cfRule type="timePeriod" dxfId="1" priority="469" timePeriod="lastMonth">
      <x:formula>AND(MONTH(E30)=MONTH(EDATE(TODAY(),0-1)),YEAR(E30)=YEAR(EDATE(TODAY(),0-1)))</x:formula>
    </x:cfRule>
    <x:cfRule type="expression" dxfId="0" priority="470">
      <x:formula>$B30="土"</x:formula>
    </x:cfRule>
    <x:cfRule type="expression" dxfId="0" priority="471">
      <x:formula>$B30="日"</x:formula>
    </x:cfRule>
    <x:cfRule type="timePeriod" dxfId="1" priority="466" timePeriod="lastMonth">
      <x:formula>AND(MONTH(E30)=MONTH(EDATE(TODAY(),0-1)),YEAR(E30)=YEAR(EDATE(TODAY(),0-1)))</x:formula>
    </x:cfRule>
    <x:cfRule type="expression" dxfId="0" priority="467">
      <x:formula>$B30="土"</x:formula>
    </x:cfRule>
    <x:cfRule type="expression" dxfId="0" priority="468">
      <x:formula>$B30="日"</x:formula>
    </x:cfRule>
  </x:conditionalFormatting>
  <x:conditionalFormatting sqref="F30:G31">
    <x:cfRule type="timePeriod" dxfId="1" priority="491" timePeriod="lastMonth">
      <x:formula>AND(MONTH(F30)=MONTH(EDATE(TODAY(),0-1)),YEAR(F30)=YEAR(EDATE(TODAY(),0-1)))</x:formula>
    </x:cfRule>
    <x:cfRule type="expression" dxfId="0" priority="492">
      <x:formula>$B30="土"</x:formula>
    </x:cfRule>
    <x:cfRule type="expression" dxfId="0" priority="493">
      <x:formula>$B30="日"</x:formula>
    </x:cfRule>
    <x:cfRule type="timePeriod" dxfId="1" priority="463" timePeriod="lastMonth">
      <x:formula>AND(MONTH(F30)=MONTH(EDATE(TODAY(),0-1)),YEAR(F30)=YEAR(EDATE(TODAY(),0-1)))</x:formula>
    </x:cfRule>
    <x:cfRule type="expression" dxfId="0" priority="464">
      <x:formula>$B30="土"</x:formula>
    </x:cfRule>
    <x:cfRule type="expression" dxfId="0" priority="465">
      <x:formula>$B30="日"</x:formula>
    </x:cfRule>
    <x:cfRule type="timePeriod" dxfId="1" priority="460" timePeriod="lastMonth">
      <x:formula>AND(MONTH(F30)=MONTH(EDATE(TODAY(),0-1)),YEAR(F30)=YEAR(EDATE(TODAY(),0-1)))</x:formula>
    </x:cfRule>
    <x:cfRule type="expression" dxfId="0" priority="461">
      <x:formula>$B30="土"</x:formula>
    </x:cfRule>
    <x:cfRule type="expression" dxfId="0" priority="462">
      <x:formula>$B30="日"</x:formula>
    </x:cfRule>
  </x:conditionalFormatting>
  <x:conditionalFormatting sqref="H31:J31 H30:I30">
    <x:cfRule type="expression" dxfId="0" priority="487">
      <x:formula>$B30="土"</x:formula>
    </x:cfRule>
    <x:cfRule type="expression" dxfId="0" priority="488">
      <x:formula>$B30="日"</x:formula>
    </x:cfRule>
  </x:conditionalFormatting>
  <x:conditionalFormatting sqref="H31:K31 H30:I30">
    <x:cfRule type="timePeriod" dxfId="1" priority="489" timePeriod="lastMonth">
      <x:formula>AND(MONTH(H30)=MONTH(EDATE(TODAY(),0-1)),YEAR(H30)=YEAR(EDATE(TODAY(),0-1)))</x:formula>
    </x:cfRule>
  </x:conditionalFormatting>
  <x:conditionalFormatting sqref="A32:B32 H32:J32 H33:I33">
    <x:cfRule type="expression" dxfId="0" priority="740">
      <x:formula>$B32="土"</x:formula>
    </x:cfRule>
    <x:cfRule type="expression" dxfId="0" priority="741">
      <x:formula>$B32="日"</x:formula>
    </x:cfRule>
  </x:conditionalFormatting>
  <x:conditionalFormatting sqref="C32:E36">
    <x:cfRule type="timePeriod" dxfId="1" priority="120" timePeriod="lastMonth">
      <x:formula>AND(MONTH(C32)=MONTH(EDATE(TODAY(),0-1)),YEAR(C32)=YEAR(EDATE(TODAY(),0-1)))</x:formula>
    </x:cfRule>
    <x:cfRule type="expression" dxfId="0" priority="121">
      <x:formula>$B32="土"</x:formula>
    </x:cfRule>
    <x:cfRule type="expression" dxfId="0" priority="122">
      <x:formula>$B32="日"</x:formula>
    </x:cfRule>
  </x:conditionalFormatting>
  <x:conditionalFormatting sqref="A33:B34">
    <x:cfRule type="expression" dxfId="0" priority="558">
      <x:formula>$B33="土"</x:formula>
    </x:cfRule>
    <x:cfRule type="expression" dxfId="0" priority="559">
      <x:formula>$B33="日"</x:formula>
    </x:cfRule>
  </x:conditionalFormatting>
  <x:conditionalFormatting sqref="A35:B36">
    <x:cfRule type="expression" dxfId="0" priority="716">
      <x:formula>$B35="土"</x:formula>
    </x:cfRule>
    <x:cfRule type="expression" dxfId="0" priority="717">
      <x:formula>$B35="日"</x:formula>
    </x:cfRule>
  </x:conditionalFormatting>
  <x:conditionalFormatting sqref="H35:I35 H36:H36">
    <x:cfRule type="expression" dxfId="0" priority="712">
      <x:formula>$B35="土"</x:formula>
    </x:cfRule>
    <x:cfRule type="expression" dxfId="0" priority="713">
      <x:formula>$B35="日"</x:formula>
    </x:cfRule>
    <x:cfRule type="timePeriod" dxfId="1" priority="714" timePeriod="lastMonth">
      <x:formula>AND(MONTH(H35)=MONTH(EDATE(TODAY(),0-1)),YEAR(H35)=YEAR(EDATE(TODAY(),0-1)))</x:formula>
    </x:cfRule>
  </x:conditionalFormatting>
  <x:conditionalFormatting sqref="C37:D38">
    <x:cfRule type="timePeriod" dxfId="1" priority="434" timePeriod="lastMonth">
      <x:formula>AND(MONTH(C37)=MONTH(EDATE(TODAY(),0-1)),YEAR(C37)=YEAR(EDATE(TODAY(),0-1)))</x:formula>
    </x:cfRule>
  </x:conditionalFormatting>
  <x:conditionalFormatting sqref="E37:G38">
    <x:cfRule type="timePeriod" dxfId="1" priority="444" timePeriod="lastMonth">
      <x:formula>AND(MONTH(E37)=MONTH(EDATE(TODAY(),0-1)),YEAR(E37)=YEAR(EDATE(TODAY(),0-1)))</x:formula>
    </x:cfRule>
    <x:cfRule type="expression" dxfId="0" priority="445">
      <x:formula>$B37="土"</x:formula>
    </x:cfRule>
    <x:cfRule type="expression" dxfId="0" priority="446">
      <x:formula>$B37="日"</x:formula>
    </x:cfRule>
    <x:cfRule type="timePeriod" dxfId="1" priority="437" timePeriod="lastMonth">
      <x:formula>AND(MONTH(E37)=MONTH(EDATE(TODAY(),0-1)),YEAR(E37)=YEAR(EDATE(TODAY(),0-1)))</x:formula>
    </x:cfRule>
  </x:conditionalFormatting>
  <x:conditionalFormatting sqref="F37:G38">
    <x:cfRule type="timePeriod" dxfId="1" priority="450" timePeriod="lastMonth">
      <x:formula>AND(MONTH(F37)=MONTH(EDATE(TODAY(),0-1)),YEAR(F37)=YEAR(EDATE(TODAY(),0-1)))</x:formula>
    </x:cfRule>
    <x:cfRule type="expression" dxfId="0" priority="451">
      <x:formula>$B37="土"</x:formula>
    </x:cfRule>
    <x:cfRule type="expression" dxfId="0" priority="452">
      <x:formula>$B37="日"</x:formula>
    </x:cfRule>
    <x:cfRule type="timePeriod" dxfId="1" priority="436" timePeriod="lastMonth">
      <x:formula>AND(MONTH(F37)=MONTH(EDATE(TODAY(),0-1)),YEAR(F37)=YEAR(EDATE(TODAY(),0-1)))</x:formula>
    </x:cfRule>
    <x:cfRule type="timePeriod" dxfId="1" priority="435" timePeriod="lastMonth">
      <x:formula>AND(MONTH(F37)=MONTH(EDATE(TODAY(),0-1)),YEAR(F37)=YEAR(EDATE(TODAY(),0-1)))</x:formula>
    </x:cfRule>
  </x:conditionalFormatting>
  <x:conditionalFormatting sqref="H37:I38">
    <x:cfRule type="expression" dxfId="0" priority="447">
      <x:formula>$B37="土"</x:formula>
    </x:cfRule>
    <x:cfRule type="expression" dxfId="0" priority="448">
      <x:formula>$B37="日"</x:formula>
    </x:cfRule>
    <x:cfRule type="timePeriod" dxfId="1" priority="449" timePeriod="lastMonth">
      <x:formula>AND(MONTH(H37)=MONTH(EDATE(TODAY(),0-1)),YEAR(H37)=YEAR(EDATE(TODAY(),0-1)))</x:formula>
    </x:cfRule>
  </x:conditionalFormatting>
  <x:conditionalFormatting sqref="J37:K38">
    <x:cfRule type="expression" dxfId="0" priority="438">
      <x:formula>$B37="土"</x:formula>
    </x:cfRule>
    <x:cfRule type="expression" dxfId="0" priority="439">
      <x:formula>$B37="日"</x:formula>
    </x:cfRule>
    <x:cfRule type="timePeriod" dxfId="1" priority="440" timePeriod="lastMonth">
      <x:formula>AND(MONTH(J37)=MONTH(EDATE(TODAY(),0-1)),YEAR(J37)=YEAR(EDATE(TODAY(),0-1)))</x:formula>
    </x:cfRule>
  </x:conditionalFormatting>
  <x:conditionalFormatting sqref="C39:E40">
    <x:cfRule type="timePeriod" dxfId="1" priority="111" timePeriod="lastMonth">
      <x:formula>AND(MONTH(C39)=MONTH(EDATE(TODAY(),0-1)),YEAR(C39)=YEAR(EDATE(TODAY(),0-1)))</x:formula>
    </x:cfRule>
    <x:cfRule type="expression" dxfId="0" priority="112">
      <x:formula>$B39="土"</x:formula>
    </x:cfRule>
    <x:cfRule type="expression" dxfId="0" priority="113">
      <x:formula>$B39="日"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5" width="14.13888931274414" customWidth="1"/>
    <x:col min="6" max="6" width="11.712963104248047" customWidth="1"/>
    <x:col min="7" max="7" width="14.13888931274414" customWidth="1"/>
    <x:col min="8" max="8" width="15.712963104248047" customWidth="1"/>
    <x:col min="9" max="9" width="50.28703689575195" customWidth="1"/>
    <x:col min="10" max="10" width="17.425926208496094" customWidth="1"/>
    <x:col min="11" max="11" width="23.13888931274414" customWidth="1"/>
  </x:cols>
  <x:sheetData>
    <x:row r="6">
      <x:c r="A6" s="80" t="s">
        <x:v>0</x:v>
      </x:c>
      <x:c r="B6">
        <x:v>4</x:v>
      </x:c>
    </x:row>
    <x:row r="7">
      <x:c r="A7">
        <x:v>2026</x:v>
      </x:c>
      <x:c r="B7">
        <x:v>4</x:v>
      </x:c>
    </x:row>
    <x:row r="8">
      <x:c r="C8" s="81" t="s">
        <x:v>1</x:v>
      </x:c>
      <x:c r="D8" s="81" t="s">
        <x:v>2</x:v>
      </x:c>
      <x:c r="E8" s="81" t="s">
        <x:v>3</x:v>
      </x:c>
      <x:c r="F8" s="82"/>
      <x:c r="G8" s="81" t="s">
        <x:v>5</x:v>
      </x:c>
      <x:c r="H8" s="81" t="s">
        <x:v>6</x:v>
      </x:c>
      <x:c r="I8" s="81" t="s">
        <x:v>7</x:v>
      </x:c>
      <x:c r="J8" s="81" t="s">
        <x:v>8</x:v>
      </x:c>
      <x:c r="K8" s="81" t="s">
        <x:v>9</x:v>
      </x:c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83" t="n">
        <x:f>DATE(A7,B7,1)</x:f>
        <x:v>46113</x:v>
      </x:c>
      <x:c r="B10" s="84" t="str">
        <x:f>TEXT(A10,"ddd")</x:f>
        <x:v>Wed</x:v>
      </x:c>
      <x:c r="C10" s="85">
        <x:v>0.333333333333333</x:v>
      </x:c>
      <x:c r="D10" s="85">
        <x:v>0.708333333333333</x:v>
      </x:c>
      <x:c r="E10" s="85">
        <x:v>0.0416666666666667</x:v>
      </x:c>
      <x:c r="F10" s="86" t="n">
        <x:f>D10-C10-E10</x:f>
        <x:v>0.33333333333333337</x:v>
      </x:c>
      <x:c r="G10" s="85" t="n">
        <x:f t="shared" ref="G10:G20" si="0">D10-C10-E10</x:f>
        <x:v>0.33333333333333337</x:v>
      </x:c>
      <x:c r="H10" s="87" t="s">
        <x:v>23</x:v>
      </x:c>
      <x:c r="I10" s="84" t="s">
        <x:v>24</x:v>
      </x:c>
      <x:c r="J10" s="85"/>
      <x:c r="K10" s="84"/>
    </x:row>
    <x:row r="11">
      <x:c r="A11" s="83" t="n">
        <x:f>A10+1</x:f>
        <x:v>46114</x:v>
      </x:c>
      <x:c r="B11" s="84" t="str">
        <x:f t="shared" ref="B11:B39" si="1">TEXT(A11,"ddd")</x:f>
        <x:v>Thu</x:v>
      </x:c>
      <x:c r="C11" s="85">
        <x:v>0.333333333333333</x:v>
      </x:c>
      <x:c r="D11" s="85">
        <x:v>0.791666666666667</x:v>
      </x:c>
      <x:c r="E11" s="85">
        <x:v>0.0833333333333333</x:v>
      </x:c>
      <x:c r="F11" s="86" t="n">
        <x:f>D11-C11-E11</x:f>
        <x:v>0.37500000000000067</x:v>
      </x:c>
      <x:c r="G11" s="85">
        <x:f t="shared" si="0"/>
        <x:v>0.375</x:v>
      </x:c>
      <x:c r="H11" s="87" t="s">
        <x:v>23</x:v>
      </x:c>
      <x:c r="I11" s="84" t="s">
        <x:v>24</x:v>
      </x:c>
      <x:c r="J11" s="85"/>
      <x:c r="K11" s="84"/>
    </x:row>
    <x:row r="12">
      <x:c r="A12" s="83" t="n">
        <x:f t="shared" ref="A12:A39" si="2">A11+1</x:f>
        <x:v>46115</x:v>
      </x:c>
      <x:c r="B12" s="84" t="str">
        <x:f t="shared" si="1"/>
        <x:v>Fri</x:v>
      </x:c>
      <x:c r="C12" s="85">
        <x:v>0.333333333333333</x:v>
      </x:c>
      <x:c r="D12" s="85">
        <x:v>0.791666666666667</x:v>
      </x:c>
      <x:c r="E12" s="85">
        <x:v>0.0833333333333333</x:v>
      </x:c>
      <x:c r="F12" s="86" t="n">
        <x:f t="shared" ref="F12:F37" si="3">D12-C12-E12</x:f>
        <x:v>0.37500000000000067</x:v>
      </x:c>
      <x:c r="G12" s="85">
        <x:f t="shared" si="0"/>
        <x:v>0.375</x:v>
      </x:c>
      <x:c r="H12" s="87" t="s">
        <x:v>23</x:v>
      </x:c>
      <x:c r="I12" s="84" t="s">
        <x:v>24</x:v>
      </x:c>
      <x:c r="J12" s="85"/>
      <x:c r="K12" s="84"/>
    </x:row>
    <x:row r="13">
      <x:c r="A13" s="88">
        <x:f t="shared" si="2"/>
        <x:v>46116</x:v>
      </x:c>
      <x:c r="B13" s="89" t="str">
        <x:f t="shared" si="1"/>
        <x:v>Sat</x:v>
      </x:c>
      <x:c r="C13" s="90"/>
      <x:c r="D13" s="90"/>
      <x:c r="E13" s="90"/>
      <x:c r="F13" s="90"/>
      <x:c r="G13" s="90"/>
      <x:c r="H13" s="89"/>
      <x:c r="I13" s="89"/>
      <x:c r="J13" s="90"/>
      <x:c r="K13" s="89"/>
    </x:row>
    <x:row r="14">
      <x:c r="A14" s="88">
        <x:f t="shared" si="2"/>
        <x:v>46117</x:v>
      </x:c>
      <x:c r="B14" s="89" t="str">
        <x:f t="shared" si="1"/>
        <x:v>Sun</x:v>
      </x:c>
      <x:c r="C14" s="90"/>
      <x:c r="D14" s="90"/>
      <x:c r="E14" s="90"/>
      <x:c r="F14" s="90"/>
      <x:c r="G14" s="90"/>
      <x:c r="H14" s="89"/>
      <x:c r="I14" s="89"/>
      <x:c r="J14" s="90"/>
      <x:c r="K14" s="91"/>
    </x:row>
    <x:row r="15" s="31" customFormat="1">
      <x:c r="A15" s="83">
        <x:f t="shared" si="2"/>
        <x:v>46118</x:v>
      </x:c>
      <x:c r="B15" s="84" t="str">
        <x:f t="shared" si="1"/>
        <x:v>Mon</x:v>
      </x:c>
      <x:c r="C15" s="85">
        <x:v>0.333333333333333</x:v>
      </x:c>
      <x:c r="D15" s="85">
        <x:v>0.833333333333333</x:v>
      </x:c>
      <x:c r="E15" s="85">
        <x:v>0.0833333333333333</x:v>
      </x:c>
      <x:c r="F15" s="86">
        <x:f t="shared" si="3"/>
        <x:v>0.416666666666667</x:v>
      </x:c>
      <x:c r="G15" s="85">
        <x:f t="shared" si="0"/>
        <x:v>0.416666666666667</x:v>
      </x:c>
      <x:c r="H15" s="87" t="s">
        <x:v>23</x:v>
      </x:c>
      <x:c r="I15" s="84" t="s">
        <x:v>24</x:v>
      </x:c>
      <x:c r="J15" s="84"/>
      <x:c r="K15" s="92"/>
    </x:row>
    <x:row r="16" s="31" customFormat="1">
      <x:c r="A16" s="83">
        <x:f t="shared" si="2"/>
        <x:v>46119</x:v>
      </x:c>
      <x:c r="B16" s="84" t="str">
        <x:f t="shared" si="1"/>
        <x:v>Tue</x:v>
      </x:c>
      <x:c r="C16" s="85">
        <x:v>0.333333333333333</x:v>
      </x:c>
      <x:c r="D16" s="85">
        <x:v>0.875</x:v>
      </x:c>
      <x:c r="E16" s="85">
        <x:v>0.0833333333333333</x:v>
      </x:c>
      <x:c r="F16" s="86">
        <x:f t="shared" si="3"/>
        <x:v>0.458333333333334</x:v>
      </x:c>
      <x:c r="G16" s="85">
        <x:f t="shared" si="0"/>
        <x:v>0.458333333333334</x:v>
      </x:c>
      <x:c r="H16" s="87" t="s">
        <x:v>23</x:v>
      </x:c>
      <x:c r="I16" s="84" t="s">
        <x:v>24</x:v>
      </x:c>
      <x:c r="J16" s="84"/>
      <x:c r="K16" s="84"/>
    </x:row>
    <x:row r="17" s="31" customFormat="1">
      <x:c r="A17" s="83">
        <x:f t="shared" si="2"/>
        <x:v>46120</x:v>
      </x:c>
      <x:c r="B17" s="84" t="str">
        <x:f t="shared" si="1"/>
        <x:v>Wed</x:v>
      </x:c>
      <x:c r="C17" s="85">
        <x:v>0.333333333333333</x:v>
      </x:c>
      <x:c r="D17" s="85">
        <x:v>0.708333333333333</x:v>
      </x:c>
      <x:c r="E17" s="85">
        <x:v>0.0416666666666667</x:v>
      </x:c>
      <x:c r="F17" s="86">
        <x:f t="shared" si="3"/>
        <x:v>0.333333333333334</x:v>
      </x:c>
      <x:c r="G17" s="85">
        <x:f t="shared" si="0"/>
        <x:v>0.333333333333334</x:v>
      </x:c>
      <x:c r="H17" s="84" t="s">
        <x:v>20</x:v>
      </x:c>
      <x:c r="I17" s="84" t="s">
        <x:v>22</x:v>
      </x:c>
      <x:c r="J17" s="85"/>
      <x:c r="K17" s="84"/>
    </x:row>
    <x:row r="18" s="31" customFormat="1">
      <x:c r="A18" s="83">
        <x:f t="shared" si="2"/>
        <x:v>46121</x:v>
      </x:c>
      <x:c r="B18" s="84" t="str">
        <x:f t="shared" si="1"/>
        <x:v>Thu</x:v>
      </x:c>
      <x:c r="C18" s="85">
        <x:v>0.333333333333333</x:v>
      </x:c>
      <x:c r="D18" s="85">
        <x:v>0.708333333333333</x:v>
      </x:c>
      <x:c r="E18" s="85">
        <x:v>0.0416666666666667</x:v>
      </x:c>
      <x:c r="F18" s="86">
        <x:f t="shared" si="3"/>
        <x:v>0.333333333333333</x:v>
      </x:c>
      <x:c r="G18" s="85">
        <x:f t="shared" si="0"/>
        <x:v>0.333333333333333</x:v>
      </x:c>
      <x:c r="H18" s="84" t="s">
        <x:v>20</x:v>
      </x:c>
      <x:c r="I18" s="84" t="s">
        <x:v>22</x:v>
      </x:c>
      <x:c r="J18" s="84"/>
      <x:c r="K18" s="92"/>
    </x:row>
    <x:row r="19" s="31" customFormat="1">
      <x:c r="A19" s="83">
        <x:f t="shared" si="2"/>
        <x:v>46122</x:v>
      </x:c>
      <x:c r="B19" s="84" t="str">
        <x:f t="shared" si="1"/>
        <x:v>Fri</x:v>
      </x:c>
      <x:c r="C19" s="85">
        <x:v>0.333333333333333</x:v>
      </x:c>
      <x:c r="D19" s="85">
        <x:v>0.708333333333333</x:v>
      </x:c>
      <x:c r="E19" s="85">
        <x:v>0.0416666666666667</x:v>
      </x:c>
      <x:c r="F19" s="86">
        <x:f t="shared" si="3"/>
        <x:v>0.333333333333333</x:v>
      </x:c>
      <x:c r="G19" s="85">
        <x:f t="shared" si="0"/>
        <x:v>0.333333333333333</x:v>
      </x:c>
      <x:c r="H19" s="87" t="s">
        <x:v>23</x:v>
      </x:c>
      <x:c r="I19" s="84" t="s">
        <x:v>24</x:v>
      </x:c>
      <x:c r="J19" s="84"/>
      <x:c r="K19" s="92"/>
    </x:row>
    <x:row r="20" s="31" customFormat="1">
      <x:c r="A20" s="83">
        <x:f t="shared" si="2"/>
        <x:v>46123</x:v>
      </x:c>
      <x:c r="B20" s="84" t="str">
        <x:f t="shared" ref="B20" si="4">TEXT(A20,"ddd")</x:f>
        <x:v>Sat</x:v>
      </x:c>
      <x:c r="C20" s="85">
        <x:v>0.333333333333333</x:v>
      </x:c>
      <x:c r="D20" s="85">
        <x:v>0.708333333333333</x:v>
      </x:c>
      <x:c r="E20" s="85">
        <x:v>0.0416666666666667</x:v>
      </x:c>
      <x:c r="F20" s="86" t="n">
        <x:f t="shared" ref="F20" si="5">D20-C20-E20</x:f>
        <x:v>0.33333333333333337</x:v>
      </x:c>
      <x:c r="G20" s="85">
        <x:f t="shared" si="0"/>
        <x:v>0.333333333333333</x:v>
      </x:c>
      <x:c r="H20" s="87" t="s">
        <x:v>23</x:v>
      </x:c>
      <x:c r="I20" s="84" t="s">
        <x:v>24</x:v>
      </x:c>
      <x:c r="J20" s="84"/>
      <x:c r="K20" s="92"/>
    </x:row>
    <x:row r="21" s="31" customFormat="1">
      <x:c r="A21" s="88">
        <x:f t="shared" si="2"/>
        <x:v>46124</x:v>
      </x:c>
      <x:c r="B21" s="89" t="str">
        <x:f t="shared" si="1"/>
        <x:v>Sun</x:v>
      </x:c>
      <x:c r="C21" s="90"/>
      <x:c r="D21" s="90"/>
      <x:c r="E21" s="90"/>
      <x:c r="F21" s="90"/>
      <x:c r="G21" s="90"/>
      <x:c r="H21" s="89"/>
      <x:c r="I21" s="89"/>
      <x:c r="J21" s="89"/>
      <x:c r="K21" s="91"/>
    </x:row>
    <x:row r="22" s="31" customFormat="1">
      <x:c r="A22" s="83">
        <x:f t="shared" si="2"/>
        <x:v>46125</x:v>
      </x:c>
      <x:c r="B22" s="84" t="str">
        <x:f t="shared" si="1"/>
        <x:v>Mon</x:v>
      </x:c>
      <x:c r="C22" s="85">
        <x:v>0.333333333333333</x:v>
      </x:c>
      <x:c r="D22" s="85">
        <x:v>0.708333333333333</x:v>
      </x:c>
      <x:c r="E22" s="85">
        <x:v>0.0416666666666667</x:v>
      </x:c>
      <x:c r="F22" s="86">
        <x:f t="shared" si="3"/>
        <x:v>0.333333333333333</x:v>
      </x:c>
      <x:c r="G22" s="85" t="n">
        <x:f t="shared" ref="G22:G37" si="6">D22-C22-E22</x:f>
        <x:v>0.33333333333333337</x:v>
      </x:c>
      <x:c r="H22" s="87" t="s">
        <x:v>23</x:v>
      </x:c>
      <x:c r="I22" s="84" t="s">
        <x:v>24</x:v>
      </x:c>
      <x:c r="J22" s="84"/>
      <x:c r="K22" s="92"/>
    </x:row>
    <x:row r="23" s="31" customFormat="1">
      <x:c r="A23" s="83">
        <x:f t="shared" si="2"/>
        <x:v>46126</x:v>
      </x:c>
      <x:c r="B23" s="84" t="str">
        <x:f t="shared" si="1"/>
        <x:v>Tue</x:v>
      </x:c>
      <x:c r="C23" s="85">
        <x:v>0.333333333333333</x:v>
      </x:c>
      <x:c r="D23" s="85">
        <x:v>0.708333333333333</x:v>
      </x:c>
      <x:c r="E23" s="85">
        <x:v>0.0416666666666667</x:v>
      </x:c>
      <x:c r="F23" s="86">
        <x:f t="shared" si="3"/>
        <x:v>0.333333333333333</x:v>
      </x:c>
      <x:c r="G23" s="85">
        <x:f t="shared" si="6"/>
        <x:v>0.333333333333333</x:v>
      </x:c>
      <x:c r="H23" s="87" t="s">
        <x:v>25</x:v>
      </x:c>
      <x:c r="I23" s="84" t="s">
        <x:v>26</x:v>
      </x:c>
      <x:c r="J23" s="84"/>
      <x:c r="K23" s="84"/>
    </x:row>
    <x:row r="24" s="31" customFormat="1">
      <x:c r="A24" s="83">
        <x:f t="shared" si="2"/>
        <x:v>46127</x:v>
      </x:c>
      <x:c r="B24" s="84" t="str">
        <x:f t="shared" si="1"/>
        <x:v>Wed</x:v>
      </x:c>
      <x:c r="C24" s="85">
        <x:v>0.333333333333333</x:v>
      </x:c>
      <x:c r="D24" s="85">
        <x:v>0.791666666666667</x:v>
      </x:c>
      <x:c r="E24" s="85">
        <x:v>0.0833333333333333</x:v>
      </x:c>
      <x:c r="F24" s="86">
        <x:f t="shared" si="3"/>
        <x:v>0.375</x:v>
      </x:c>
      <x:c r="G24" s="85">
        <x:f t="shared" si="6"/>
        <x:v>0.375</x:v>
      </x:c>
      <x:c r="H24" s="87" t="s">
        <x:v>25</x:v>
      </x:c>
      <x:c r="I24" s="84" t="s">
        <x:v>26</x:v>
      </x:c>
      <x:c r="J24" s="85"/>
      <x:c r="K24" s="84"/>
    </x:row>
    <x:row r="25" s="31" customFormat="1">
      <x:c r="A25" s="83">
        <x:f t="shared" si="2"/>
        <x:v>46128</x:v>
      </x:c>
      <x:c r="B25" s="84" t="str">
        <x:f t="shared" si="1"/>
        <x:v>Thu</x:v>
      </x:c>
      <x:c r="C25" s="85">
        <x:v>0.333333333333333</x:v>
      </x:c>
      <x:c r="D25" s="85">
        <x:v>0.708333333333333</x:v>
      </x:c>
      <x:c r="E25" s="85">
        <x:v>0.0416666666666667</x:v>
      </x:c>
      <x:c r="F25" s="86">
        <x:f t="shared" si="3"/>
        <x:v>0.333333333333334</x:v>
      </x:c>
      <x:c r="G25" s="85">
        <x:f t="shared" si="6"/>
        <x:v>0.333333333333334</x:v>
      </x:c>
      <x:c r="H25" s="84" t="s">
        <x:v>20</x:v>
      </x:c>
      <x:c r="I25" s="85" t="s">
        <x:v>22</x:v>
      </x:c>
      <x:c r="J25" s="84"/>
      <x:c r="K25" s="92"/>
    </x:row>
    <x:row r="26" s="31" customFormat="1">
      <x:c r="A26" s="83">
        <x:f t="shared" si="2"/>
        <x:v>46129</x:v>
      </x:c>
      <x:c r="B26" s="84" t="str">
        <x:f t="shared" si="1"/>
        <x:v>Fri</x:v>
      </x:c>
      <x:c r="C26" s="85">
        <x:v>0.333333333333333</x:v>
      </x:c>
      <x:c r="D26" s="85">
        <x:v>0.833333333333333</x:v>
      </x:c>
      <x:c r="E26" s="85">
        <x:v>0.0833333333333333</x:v>
      </x:c>
      <x:c r="F26" s="86">
        <x:f t="shared" si="3"/>
        <x:v>0.416666666666667</x:v>
      </x:c>
      <x:c r="G26" s="85">
        <x:f t="shared" si="6"/>
        <x:v>0.416666666666667</x:v>
      </x:c>
      <x:c r="H26" s="84" t="s">
        <x:v>20</x:v>
      </x:c>
      <x:c r="I26" s="85" t="s">
        <x:v>22</x:v>
      </x:c>
      <x:c r="J26" s="84"/>
      <x:c r="K26" s="92"/>
    </x:row>
    <x:row r="27" s="31" customFormat="1">
      <x:c r="A27" s="88">
        <x:f t="shared" si="2"/>
        <x:v>46130</x:v>
      </x:c>
      <x:c r="B27" s="89" t="str">
        <x:f t="shared" si="1"/>
        <x:v>Sat</x:v>
      </x:c>
      <x:c r="C27" s="90"/>
      <x:c r="D27" s="90"/>
      <x:c r="E27" s="90"/>
      <x:c r="F27" s="90"/>
      <x:c r="G27" s="90"/>
      <x:c r="H27" s="89"/>
      <x:c r="I27" s="89"/>
      <x:c r="J27" s="89"/>
      <x:c r="K27" s="91"/>
    </x:row>
    <x:row r="28" s="31" customFormat="1">
      <x:c r="A28" s="88">
        <x:f t="shared" si="2"/>
        <x:v>46131</x:v>
      </x:c>
      <x:c r="B28" s="89" t="str">
        <x:f t="shared" si="1"/>
        <x:v>Sun</x:v>
      </x:c>
      <x:c r="C28" s="90"/>
      <x:c r="D28" s="90"/>
      <x:c r="E28" s="90"/>
      <x:c r="F28" s="90"/>
      <x:c r="G28" s="90"/>
      <x:c r="H28" s="89"/>
      <x:c r="I28" s="89"/>
      <x:c r="J28" s="89"/>
      <x:c r="K28" s="91"/>
    </x:row>
    <x:row r="29" s="31" customFormat="1">
      <x:c r="A29" s="83">
        <x:f t="shared" si="2"/>
        <x:v>46132</x:v>
      </x:c>
      <x:c r="B29" s="84" t="str">
        <x:f t="shared" si="1"/>
        <x:v>Mon</x:v>
      </x:c>
      <x:c r="C29" s="85">
        <x:v>0.333333333333333</x:v>
      </x:c>
      <x:c r="D29" s="85">
        <x:v>0.708333333333333</x:v>
      </x:c>
      <x:c r="E29" s="85">
        <x:v>0.0416666666666667</x:v>
      </x:c>
      <x:c r="F29" s="86">
        <x:f t="shared" si="3"/>
        <x:v>0.333333333333333</x:v>
      </x:c>
      <x:c r="G29" s="85">
        <x:f t="shared" si="6"/>
        <x:v>0.333333333333333</x:v>
      </x:c>
      <x:c r="H29" s="84" t="s">
        <x:v>23</x:v>
      </x:c>
      <x:c r="I29" s="84" t="s">
        <x:v>24</x:v>
      </x:c>
      <x:c r="J29" s="84"/>
      <x:c r="K29" s="92"/>
    </x:row>
    <x:row r="30" s="31" customFormat="1">
      <x:c r="A30" s="83">
        <x:f t="shared" si="2"/>
        <x:v>46133</x:v>
      </x:c>
      <x:c r="B30" s="84" t="str">
        <x:f t="shared" si="1"/>
        <x:v>Tue</x:v>
      </x:c>
      <x:c r="C30" s="85">
        <x:v>0.333333333333333</x:v>
      </x:c>
      <x:c r="D30" s="85">
        <x:v>0.708333333333333</x:v>
      </x:c>
      <x:c r="E30" s="85">
        <x:v>0.0416666666666667</x:v>
      </x:c>
      <x:c r="F30" s="86">
        <x:f t="shared" si="3"/>
        <x:v>0.333333333333333</x:v>
      </x:c>
      <x:c r="G30" s="85">
        <x:f t="shared" si="6"/>
        <x:v>0.333333333333333</x:v>
      </x:c>
      <x:c r="H30" s="84" t="s">
        <x:v>23</x:v>
      </x:c>
      <x:c r="I30" s="84" t="s">
        <x:v>24</x:v>
      </x:c>
      <x:c r="J30" s="84"/>
      <x:c r="K30" s="84"/>
    </x:row>
    <x:row r="31" s="31" customFormat="1">
      <x:c r="A31" s="83">
        <x:f t="shared" si="2"/>
        <x:v>46134</x:v>
      </x:c>
      <x:c r="B31" s="84" t="str">
        <x:f t="shared" si="1"/>
        <x:v>Wed</x:v>
      </x:c>
      <x:c r="C31" s="85">
        <x:v>0.333333333333333</x:v>
      </x:c>
      <x:c r="D31" s="85">
        <x:v>0.875</x:v>
      </x:c>
      <x:c r="E31" s="85">
        <x:v>0.0833333333333333</x:v>
      </x:c>
      <x:c r="F31" s="86">
        <x:f t="shared" si="3"/>
        <x:v>0.458333333333334</x:v>
      </x:c>
      <x:c r="G31" s="85">
        <x:f t="shared" si="6"/>
        <x:v>0.458333333333334</x:v>
      </x:c>
      <x:c r="H31" s="84" t="s">
        <x:v>23</x:v>
      </x:c>
      <x:c r="I31" s="84" t="s">
        <x:v>24</x:v>
      </x:c>
      <x:c r="J31" s="85"/>
      <x:c r="K31" s="84"/>
    </x:row>
    <x:row r="32" s="31" customFormat="1">
      <x:c r="A32" s="83">
        <x:f t="shared" si="2"/>
        <x:v>46135</x:v>
      </x:c>
      <x:c r="B32" s="84" t="str">
        <x:f t="shared" si="1"/>
        <x:v>Thu</x:v>
      </x:c>
      <x:c r="C32" s="85">
        <x:v>0.333333333333333</x:v>
      </x:c>
      <x:c r="D32" s="85">
        <x:v>0.791666666666667</x:v>
      </x:c>
      <x:c r="E32" s="85">
        <x:v>0.0833333333333333</x:v>
      </x:c>
      <x:c r="F32" s="86">
        <x:f t="shared" si="3"/>
        <x:v>0.375</x:v>
      </x:c>
      <x:c r="G32" s="85">
        <x:f t="shared" si="6"/>
        <x:v>0.375</x:v>
      </x:c>
      <x:c r="H32" s="84" t="s">
        <x:v>23</x:v>
      </x:c>
      <x:c r="I32" s="84" t="s">
        <x:v>24</x:v>
      </x:c>
      <x:c r="J32" s="85"/>
      <x:c r="K32" s="92"/>
    </x:row>
    <x:row r="33" s="31" customFormat="1">
      <x:c r="A33" s="83">
        <x:f t="shared" si="2"/>
        <x:v>46136</x:v>
      </x:c>
      <x:c r="B33" s="84" t="str">
        <x:f t="shared" si="1"/>
        <x:v>Fri</x:v>
      </x:c>
      <x:c r="C33" s="85">
        <x:v>0.333333333333333</x:v>
      </x:c>
      <x:c r="D33" s="85">
        <x:v>0.708333333333333</x:v>
      </x:c>
      <x:c r="E33" s="85">
        <x:v>0.0416666666666667</x:v>
      </x:c>
      <x:c r="F33" s="86">
        <x:f t="shared" si="3"/>
        <x:v>0.333333333333333</x:v>
      </x:c>
      <x:c r="G33" s="85">
        <x:f t="shared" si="6"/>
        <x:v>0.333333333333333</x:v>
      </x:c>
      <x:c r="H33" s="84" t="s">
        <x:v>23</x:v>
      </x:c>
      <x:c r="I33" s="84" t="s">
        <x:v>24</x:v>
      </x:c>
      <x:c r="J33" s="85"/>
      <x:c r="K33" s="92"/>
    </x:row>
    <x:row r="34" s="31" customFormat="1">
      <x:c r="A34" s="88">
        <x:f t="shared" si="2"/>
        <x:v>46137</x:v>
      </x:c>
      <x:c r="B34" s="89" t="str">
        <x:f t="shared" si="1"/>
        <x:v>Sat</x:v>
      </x:c>
      <x:c r="C34" s="90"/>
      <x:c r="D34" s="90"/>
      <x:c r="E34" s="90"/>
      <x:c r="F34" s="90"/>
      <x:c r="G34" s="90"/>
      <x:c r="H34" s="89"/>
      <x:c r="I34" s="89"/>
      <x:c r="J34" s="90"/>
      <x:c r="K34" s="89"/>
    </x:row>
    <x:row r="35" s="31" customFormat="1">
      <x:c r="A35" s="88">
        <x:f t="shared" si="2"/>
        <x:v>46138</x:v>
      </x:c>
      <x:c r="B35" s="89" t="str">
        <x:f t="shared" si="1"/>
        <x:v>Sun</x:v>
      </x:c>
      <x:c r="C35" s="90"/>
      <x:c r="D35" s="90"/>
      <x:c r="E35" s="90"/>
      <x:c r="F35" s="90"/>
      <x:c r="G35" s="90"/>
      <x:c r="H35" s="89"/>
      <x:c r="I35" s="89"/>
      <x:c r="J35" s="90"/>
      <x:c r="K35" s="89"/>
    </x:row>
    <x:row r="36" s="31" customFormat="1">
      <x:c r="A36" s="83">
        <x:f t="shared" si="2"/>
        <x:v>46139</x:v>
      </x:c>
      <x:c r="B36" s="84" t="str">
        <x:f t="shared" si="1"/>
        <x:v>Mon</x:v>
      </x:c>
      <x:c r="C36" s="85">
        <x:v>0.333333333333333</x:v>
      </x:c>
      <x:c r="D36" s="85">
        <x:v>0.708333333333333</x:v>
      </x:c>
      <x:c r="E36" s="85">
        <x:v>0.0416666666666667</x:v>
      </x:c>
      <x:c r="F36" s="86">
        <x:f t="shared" si="3"/>
        <x:v>0.333333333333333</x:v>
      </x:c>
      <x:c r="G36" s="85">
        <x:f t="shared" si="6"/>
        <x:v>0.333333333333333</x:v>
      </x:c>
      <x:c r="H36" s="84" t="s">
        <x:v>23</x:v>
      </x:c>
      <x:c r="I36" s="84" t="s">
        <x:v>24</x:v>
      </x:c>
      <x:c r="J36" s="84"/>
      <x:c r="K36" s="84"/>
    </x:row>
    <x:row r="37" s="31" customFormat="1">
      <x:c r="A37" s="83">
        <x:f t="shared" si="2"/>
        <x:v>46140</x:v>
      </x:c>
      <x:c r="B37" s="84" t="str">
        <x:f t="shared" si="1"/>
        <x:v>Tue</x:v>
      </x:c>
      <x:c r="C37" s="85">
        <x:v>0.333333333333333</x:v>
      </x:c>
      <x:c r="D37" s="85">
        <x:v>0.708333333333333</x:v>
      </x:c>
      <x:c r="E37" s="85">
        <x:v>0.0416666666666667</x:v>
      </x:c>
      <x:c r="F37" s="86">
        <x:f t="shared" si="3"/>
        <x:v>0.333333333333333</x:v>
      </x:c>
      <x:c r="G37" s="85">
        <x:f t="shared" si="6"/>
        <x:v>0.333333333333333</x:v>
      </x:c>
      <x:c r="H37" s="84" t="s">
        <x:v>23</x:v>
      </x:c>
      <x:c r="I37" s="84" t="s">
        <x:v>24</x:v>
      </x:c>
      <x:c r="J37" s="84"/>
      <x:c r="K37" s="84"/>
    </x:row>
    <x:row r="38">
      <x:c r="A38" s="88">
        <x:f t="shared" si="2"/>
        <x:v>46141</x:v>
      </x:c>
      <x:c r="B38" s="89" t="str">
        <x:f t="shared" si="1"/>
        <x:v>Wed</x:v>
      </x:c>
      <x:c r="C38" s="90"/>
      <x:c r="D38" s="90"/>
      <x:c r="E38" s="90"/>
      <x:c r="F38" s="90"/>
      <x:c r="G38" s="90"/>
      <x:c r="H38" s="89"/>
      <x:c r="I38" s="89"/>
      <x:c r="J38" s="89"/>
      <x:c r="K38" s="89"/>
    </x:row>
    <x:row r="39">
      <x:c r="A39" s="88">
        <x:f t="shared" si="2"/>
        <x:v>46142</x:v>
      </x:c>
      <x:c r="B39" s="89" t="str">
        <x:f t="shared" si="1"/>
        <x:v>Thu</x:v>
      </x:c>
      <x:c r="C39" s="90"/>
      <x:c r="D39" s="90"/>
      <x:c r="E39" s="90"/>
      <x:c r="F39" s="90"/>
      <x:c r="G39" s="90"/>
      <x:c r="H39" s="89"/>
      <x:c r="I39" s="89"/>
      <x:c r="J39" s="89"/>
      <x:c r="K39" s="89"/>
    </x:row>
  </x:sheetData>
  <x:conditionalFormatting sqref="I10:I10">
    <x:cfRule type="expression" dxfId="0" priority="94">
      <x:formula>$B10="土"</x:formula>
    </x:cfRule>
    <x:cfRule type="expression" dxfId="0" priority="95">
      <x:formula>$B10="日"</x:formula>
    </x:cfRule>
    <x:cfRule type="timePeriod" dxfId="1" priority="96" timePeriod="lastMonth">
      <x:formula>AND(MONTH(I10)=MONTH(EDATE(TODAY(),0-1)),YEAR(I10)=YEAR(EDATE(TODAY(),0-1)))</x:formula>
    </x:cfRule>
  </x:conditionalFormatting>
  <x:conditionalFormatting sqref="J10:J10">
    <x:cfRule type="expression" dxfId="0" priority="466">
      <x:formula>$B10="土"</x:formula>
    </x:cfRule>
    <x:cfRule type="expression" dxfId="0" priority="467">
      <x:formula>$B10="日"</x:formula>
    </x:cfRule>
  </x:conditionalFormatting>
  <x:conditionalFormatting sqref="J10:K10">
    <x:cfRule type="timePeriod" dxfId="1" priority="468" timePeriod="lastMonth">
      <x:formula>AND(MONTH(J10)=MONTH(EDATE(TODAY(),0-1)),YEAR(J10)=YEAR(EDATE(TODAY(),0-1)))</x:formula>
    </x:cfRule>
  </x:conditionalFormatting>
  <x:conditionalFormatting sqref="K10:K10">
    <x:cfRule type="expression" dxfId="0" priority="469">
      <x:formula>WEEKDAY(K$10)=L$4</x:formula>
    </x:cfRule>
  </x:conditionalFormatting>
  <x:conditionalFormatting sqref="I11:I11">
    <x:cfRule type="expression" dxfId="0" priority="1">
      <x:formula>$B11="土"</x:formula>
    </x:cfRule>
    <x:cfRule type="expression" dxfId="0" priority="2">
      <x:formula>$B11="日"</x:formula>
    </x:cfRule>
    <x:cfRule type="timePeriod" dxfId="1" priority="3" timePeriod="lastMonth">
      <x:formula>AND(MONTH(I11)=MONTH(EDATE(TODAY(),0-1)),YEAR(I11)=YEAR(EDATE(TODAY(),0-1)))</x:formula>
    </x:cfRule>
  </x:conditionalFormatting>
  <x:conditionalFormatting sqref="J11:J11">
    <x:cfRule type="expression" dxfId="0" priority="475">
      <x:formula>$B11="土"</x:formula>
    </x:cfRule>
    <x:cfRule type="expression" dxfId="0" priority="476">
      <x:formula>$B11="日"</x:formula>
    </x:cfRule>
  </x:conditionalFormatting>
  <x:conditionalFormatting sqref="I12:I12">
    <x:cfRule type="expression" dxfId="0" priority="91">
      <x:formula>$B12="土"</x:formula>
    </x:cfRule>
    <x:cfRule type="expression" dxfId="0" priority="92">
      <x:formula>$B12="日"</x:formula>
    </x:cfRule>
    <x:cfRule type="timePeriod" dxfId="1" priority="93" timePeriod="lastMonth">
      <x:formula>AND(MONTH(I12)=MONTH(EDATE(TODAY(),0-1)),YEAR(I12)=YEAR(EDATE(TODAY(),0-1)))</x:formula>
    </x:cfRule>
  </x:conditionalFormatting>
  <x:conditionalFormatting sqref="J12:J12">
    <x:cfRule type="timePeriod" dxfId="1" priority="445" timePeriod="lastMonth">
      <x:formula>AND(MONTH(J12)=MONTH(EDATE(TODAY(),0-1)),YEAR(J12)=YEAR(EDATE(TODAY(),0-1)))</x:formula>
    </x:cfRule>
    <x:cfRule type="expression" dxfId="2" priority="443">
      <x:formula>$B12="日"</x:formula>
    </x:cfRule>
    <x:cfRule type="expression" dxfId="2" priority="444">
      <x:formula>$B12="土"</x:formula>
    </x:cfRule>
  </x:conditionalFormatting>
  <x:conditionalFormatting sqref="I15:I15">
    <x:cfRule type="expression" dxfId="0" priority="82">
      <x:formula>$B15="土"</x:formula>
    </x:cfRule>
    <x:cfRule type="expression" dxfId="0" priority="83">
      <x:formula>$B15="日"</x:formula>
    </x:cfRule>
    <x:cfRule type="timePeriod" dxfId="1" priority="84" timePeriod="lastMonth">
      <x:formula>AND(MONTH(I15)=MONTH(EDATE(TODAY(),0-1)),YEAR(I15)=YEAR(EDATE(TODAY(),0-1)))</x:formula>
    </x:cfRule>
  </x:conditionalFormatting>
  <x:conditionalFormatting sqref="K15:K15">
    <x:cfRule type="timePeriod" dxfId="1" priority="134" timePeriod="lastMonth">
      <x:formula>AND(MONTH(K15)=MONTH(EDATE(TODAY(),0-1)),YEAR(K15)=YEAR(EDATE(TODAY(),0-1)))</x:formula>
    </x:cfRule>
    <x:cfRule type="expression" dxfId="3" priority="135">
      <x:formula>WEEKDAY(K$10)=L$4</x:formula>
    </x:cfRule>
  </x:conditionalFormatting>
  <x:conditionalFormatting sqref="I16:I16">
    <x:cfRule type="expression" dxfId="0" priority="79">
      <x:formula>$B16="土"</x:formula>
    </x:cfRule>
    <x:cfRule type="expression" dxfId="0" priority="80">
      <x:formula>$B16="日"</x:formula>
    </x:cfRule>
    <x:cfRule type="timePeriod" dxfId="1" priority="81" timePeriod="lastMonth">
      <x:formula>AND(MONTH(I16)=MONTH(EDATE(TODAY(),0-1)),YEAR(I16)=YEAR(EDATE(TODAY(),0-1)))</x:formula>
    </x:cfRule>
  </x:conditionalFormatting>
  <x:conditionalFormatting sqref="H17:H17">
    <x:cfRule type="expression" dxfId="0" priority="7">
      <x:formula>$B17="土"</x:formula>
    </x:cfRule>
    <x:cfRule type="expression" dxfId="0" priority="8">
      <x:formula>$B17="日"</x:formula>
    </x:cfRule>
    <x:cfRule type="timePeriod" dxfId="1" priority="9" timePeriod="lastMonth">
      <x:formula>AND(MONTH(H17)=MONTH(EDATE(TODAY(),0-1)),YEAR(H17)=YEAR(EDATE(TODAY(),0-1)))</x:formula>
    </x:cfRule>
  </x:conditionalFormatting>
  <x:conditionalFormatting sqref="I17:I17">
    <x:cfRule type="expression" dxfId="0" priority="88">
      <x:formula>$B17="土"</x:formula>
    </x:cfRule>
    <x:cfRule type="expression" dxfId="0" priority="89">
      <x:formula>$B17="日"</x:formula>
    </x:cfRule>
    <x:cfRule type="timePeriod" dxfId="1" priority="90" timePeriod="lastMonth">
      <x:formula>AND(MONTH(I17)=MONTH(EDATE(TODAY(),0-1)),YEAR(I17)=YEAR(EDATE(TODAY(),0-1)))</x:formula>
    </x:cfRule>
  </x:conditionalFormatting>
  <x:conditionalFormatting sqref="J17:J17">
    <x:cfRule type="expression" dxfId="0" priority="459">
      <x:formula>$B17="土"</x:formula>
    </x:cfRule>
    <x:cfRule type="expression" dxfId="0" priority="460">
      <x:formula>$B17="日"</x:formula>
    </x:cfRule>
  </x:conditionalFormatting>
  <x:conditionalFormatting sqref="J17:K17">
    <x:cfRule type="timePeriod" dxfId="1" priority="461" timePeriod="lastMonth">
      <x:formula>AND(MONTH(J17)=MONTH(EDATE(TODAY(),0-1)),YEAR(J17)=YEAR(EDATE(TODAY(),0-1)))</x:formula>
    </x:cfRule>
  </x:conditionalFormatting>
  <x:conditionalFormatting sqref="K17:K17">
    <x:cfRule type="expression" dxfId="0" priority="462">
      <x:formula>WEEKDAY(K$10)=L$4</x:formula>
    </x:cfRule>
  </x:conditionalFormatting>
  <x:conditionalFormatting sqref="H18:H18">
    <x:cfRule type="expression" dxfId="0" priority="4">
      <x:formula>$B18="土"</x:formula>
    </x:cfRule>
    <x:cfRule type="expression" dxfId="0" priority="5">
      <x:formula>$B18="日"</x:formula>
    </x:cfRule>
    <x:cfRule type="timePeriod" dxfId="1" priority="6" timePeriod="lastMonth">
      <x:formula>AND(MONTH(H18)=MONTH(EDATE(TODAY(),0-1)),YEAR(H18)=YEAR(EDATE(TODAY(),0-1)))</x:formula>
    </x:cfRule>
  </x:conditionalFormatting>
  <x:conditionalFormatting sqref="I18:I18">
    <x:cfRule type="expression" dxfId="0" priority="73">
      <x:formula>$B18="土"</x:formula>
    </x:cfRule>
    <x:cfRule type="expression" dxfId="0" priority="74">
      <x:formula>$B18="日"</x:formula>
    </x:cfRule>
    <x:cfRule type="timePeriod" dxfId="1" priority="75" timePeriod="lastMonth">
      <x:formula>AND(MONTH(I18)=MONTH(EDATE(TODAY(),0-1)),YEAR(I18)=YEAR(EDATE(TODAY(),0-1)))</x:formula>
    </x:cfRule>
  </x:conditionalFormatting>
  <x:conditionalFormatting sqref="J18:J18">
    <x:cfRule type="expression" dxfId="0" priority="175">
      <x:formula>$B18="土"</x:formula>
    </x:cfRule>
    <x:cfRule type="expression" dxfId="0" priority="176">
      <x:formula>$B18="日"</x:formula>
    </x:cfRule>
    <x:cfRule type="timePeriod" dxfId="1" priority="177" timePeriod="lastMonth">
      <x:formula>AND(MONTH(J18)=MONTH(EDATE(TODAY(),0-1)),YEAR(J18)=YEAR(EDATE(TODAY(),0-1)))</x:formula>
    </x:cfRule>
  </x:conditionalFormatting>
  <x:conditionalFormatting sqref="A19:B19">
    <x:cfRule type="expression" dxfId="0" priority="368">
      <x:formula>$B19="土"</x:formula>
    </x:cfRule>
    <x:cfRule type="expression" dxfId="0" priority="369">
      <x:formula>$B19="日"</x:formula>
    </x:cfRule>
  </x:conditionalFormatting>
  <x:conditionalFormatting sqref="B19:B19">
    <x:cfRule type="timePeriod" dxfId="1" priority="370" timePeriod="lastMonth">
      <x:formula>AND(MONTH(B19)=MONTH(EDATE(TODAY(),0-1)),YEAR(B19)=YEAR(EDATE(TODAY(),0-1)))</x:formula>
    </x:cfRule>
  </x:conditionalFormatting>
  <x:conditionalFormatting sqref="I19:I19">
    <x:cfRule type="expression" dxfId="0" priority="76">
      <x:formula>$B19="土"</x:formula>
    </x:cfRule>
    <x:cfRule type="expression" dxfId="0" priority="77">
      <x:formula>$B19="日"</x:formula>
    </x:cfRule>
    <x:cfRule type="timePeriod" dxfId="1" priority="78" timePeriod="lastMonth">
      <x:formula>AND(MONTH(I19)=MONTH(EDATE(TODAY(),0-1)),YEAR(I19)=YEAR(EDATE(TODAY(),0-1)))</x:formula>
    </x:cfRule>
  </x:conditionalFormatting>
  <x:conditionalFormatting sqref="J19:J19">
    <x:cfRule type="expression" dxfId="0" priority="178">
      <x:formula>$B19="土"</x:formula>
    </x:cfRule>
    <x:cfRule type="expression" dxfId="0" priority="179">
      <x:formula>$B19="日"</x:formula>
    </x:cfRule>
    <x:cfRule type="timePeriod" dxfId="1" priority="180" timePeriod="lastMonth">
      <x:formula>AND(MONTH(J19)=MONTH(EDATE(TODAY(),0-1)),YEAR(J19)=YEAR(EDATE(TODAY(),0-1)))</x:formula>
    </x:cfRule>
  </x:conditionalFormatting>
  <x:conditionalFormatting sqref="I22:I22">
    <x:cfRule type="expression" dxfId="0" priority="61">
      <x:formula>$B22="土"</x:formula>
    </x:cfRule>
    <x:cfRule type="expression" dxfId="0" priority="62">
      <x:formula>$B22="日"</x:formula>
    </x:cfRule>
    <x:cfRule type="timePeriod" dxfId="1" priority="63" timePeriod="lastMonth">
      <x:formula>AND(MONTH(I22)=MONTH(EDATE(TODAY(),0-1)),YEAR(I22)=YEAR(EDATE(TODAY(),0-1)))</x:formula>
    </x:cfRule>
  </x:conditionalFormatting>
  <x:conditionalFormatting sqref="J22:J22">
    <x:cfRule type="expression" dxfId="0" priority="160">
      <x:formula>$B22="土"</x:formula>
    </x:cfRule>
    <x:cfRule type="expression" dxfId="0" priority="161">
      <x:formula>$B22="日"</x:formula>
    </x:cfRule>
    <x:cfRule type="timePeriod" dxfId="1" priority="162" timePeriod="lastMonth">
      <x:formula>AND(MONTH(J22)=MONTH(EDATE(TODAY(),0-1)),YEAR(J22)=YEAR(EDATE(TODAY(),0-1)))</x:formula>
    </x:cfRule>
  </x:conditionalFormatting>
  <x:conditionalFormatting sqref="I23:I23">
    <x:cfRule type="expression" dxfId="0" priority="58">
      <x:formula>$B23="土"</x:formula>
    </x:cfRule>
    <x:cfRule type="expression" dxfId="0" priority="59">
      <x:formula>$B23="日"</x:formula>
    </x:cfRule>
    <x:cfRule type="timePeriod" dxfId="1" priority="60" timePeriod="lastMonth">
      <x:formula>AND(MONTH(I23)=MONTH(EDATE(TODAY(),0-1)),YEAR(I23)=YEAR(EDATE(TODAY(),0-1)))</x:formula>
    </x:cfRule>
  </x:conditionalFormatting>
  <x:conditionalFormatting sqref="J23:K23">
    <x:cfRule type="expression" dxfId="0" priority="334">
      <x:formula>$B23="土"</x:formula>
    </x:cfRule>
    <x:cfRule type="expression" dxfId="0" priority="335">
      <x:formula>$B23="日"</x:formula>
    </x:cfRule>
    <x:cfRule type="timePeriod" dxfId="1" priority="336" timePeriod="lastMonth">
      <x:formula>AND(MONTH(J23)=MONTH(EDATE(TODAY(),0-1)),YEAR(J23)=YEAR(EDATE(TODAY(),0-1)))</x:formula>
    </x:cfRule>
  </x:conditionalFormatting>
  <x:conditionalFormatting sqref="I24:I24">
    <x:cfRule type="expression" dxfId="0" priority="55">
      <x:formula>$B24="土"</x:formula>
    </x:cfRule>
    <x:cfRule type="expression" dxfId="0" priority="56">
      <x:formula>$B24="日"</x:formula>
    </x:cfRule>
    <x:cfRule type="timePeriod" dxfId="1" priority="57" timePeriod="lastMonth">
      <x:formula>AND(MONTH(I24)=MONTH(EDATE(TODAY(),0-1)),YEAR(I24)=YEAR(EDATE(TODAY(),0-1)))</x:formula>
    </x:cfRule>
  </x:conditionalFormatting>
  <x:conditionalFormatting sqref="J24:J24">
    <x:cfRule type="expression" dxfId="0" priority="340">
      <x:formula>$B24="土"</x:formula>
    </x:cfRule>
    <x:cfRule type="expression" dxfId="0" priority="341">
      <x:formula>$B24="日"</x:formula>
    </x:cfRule>
  </x:conditionalFormatting>
  <x:conditionalFormatting sqref="J24:K24">
    <x:cfRule type="timePeriod" dxfId="1" priority="342" timePeriod="lastMonth">
      <x:formula>AND(MONTH(J24)=MONTH(EDATE(TODAY(),0-1)),YEAR(J24)=YEAR(EDATE(TODAY(),0-1)))</x:formula>
    </x:cfRule>
  </x:conditionalFormatting>
  <x:conditionalFormatting sqref="K24:K24">
    <x:cfRule type="expression" dxfId="0" priority="343">
      <x:formula>WEEKDAY(K$10)=L$4</x:formula>
    </x:cfRule>
  </x:conditionalFormatting>
  <x:conditionalFormatting sqref="A25:B25">
    <x:cfRule type="expression" dxfId="0" priority="473">
      <x:formula>$B25="土"</x:formula>
    </x:cfRule>
    <x:cfRule type="expression" dxfId="0" priority="474">
      <x:formula>$B25="日"</x:formula>
    </x:cfRule>
  </x:conditionalFormatting>
  <x:conditionalFormatting sqref="A26:B26">
    <x:cfRule type="expression" dxfId="0" priority="365">
      <x:formula>$B26="土"</x:formula>
    </x:cfRule>
    <x:cfRule type="expression" dxfId="0" priority="366">
      <x:formula>$B26="日"</x:formula>
    </x:cfRule>
  </x:conditionalFormatting>
  <x:conditionalFormatting sqref="B26:B26">
    <x:cfRule type="timePeriod" dxfId="1" priority="367" timePeriod="lastMonth">
      <x:formula>AND(MONTH(B26)=MONTH(EDATE(TODAY(),0-1)),YEAR(B26)=YEAR(EDATE(TODAY(),0-1)))</x:formula>
    </x:cfRule>
  </x:conditionalFormatting>
  <x:conditionalFormatting sqref="H29:H29">
    <x:cfRule type="expression" dxfId="0" priority="46">
      <x:formula>$B29="土"</x:formula>
    </x:cfRule>
    <x:cfRule type="expression" dxfId="0" priority="47">
      <x:formula>$B29="日"</x:formula>
    </x:cfRule>
    <x:cfRule type="timePeriod" dxfId="1" priority="48" timePeriod="lastMonth">
      <x:formula>AND(MONTH(H29)=MONTH(EDATE(TODAY(),0-1)),YEAR(H29)=YEAR(EDATE(TODAY(),0-1)))</x:formula>
    </x:cfRule>
  </x:conditionalFormatting>
  <x:conditionalFormatting sqref="I29:I29">
    <x:cfRule type="expression" dxfId="0" priority="43">
      <x:formula>$B29="土"</x:formula>
    </x:cfRule>
    <x:cfRule type="expression" dxfId="0" priority="44">
      <x:formula>$B29="日"</x:formula>
    </x:cfRule>
    <x:cfRule type="timePeriod" dxfId="1" priority="45" timePeriod="lastMonth">
      <x:formula>AND(MONTH(I29)=MONTH(EDATE(TODAY(),0-1)),YEAR(I29)=YEAR(EDATE(TODAY(),0-1)))</x:formula>
    </x:cfRule>
  </x:conditionalFormatting>
  <x:conditionalFormatting sqref="H30:H30">
    <x:cfRule type="expression" dxfId="0" priority="40">
      <x:formula>$B30="土"</x:formula>
    </x:cfRule>
    <x:cfRule type="expression" dxfId="0" priority="41">
      <x:formula>$B30="日"</x:formula>
    </x:cfRule>
    <x:cfRule type="timePeriod" dxfId="1" priority="42" timePeriod="lastMonth">
      <x:formula>AND(MONTH(H30)=MONTH(EDATE(TODAY(),0-1)),YEAR(H30)=YEAR(EDATE(TODAY(),0-1)))</x:formula>
    </x:cfRule>
  </x:conditionalFormatting>
  <x:conditionalFormatting sqref="I30:I30">
    <x:cfRule type="expression" dxfId="0" priority="37">
      <x:formula>$B30="土"</x:formula>
    </x:cfRule>
    <x:cfRule type="expression" dxfId="0" priority="38">
      <x:formula>$B30="日"</x:formula>
    </x:cfRule>
    <x:cfRule type="timePeriod" dxfId="1" priority="39" timePeriod="lastMonth">
      <x:formula>AND(MONTH(I30)=MONTH(EDATE(TODAY(),0-1)),YEAR(I30)=YEAR(EDATE(TODAY(),0-1)))</x:formula>
    </x:cfRule>
  </x:conditionalFormatting>
  <x:conditionalFormatting sqref="J30:K30">
    <x:cfRule type="expression" dxfId="0" priority="294">
      <x:formula>$B30="土"</x:formula>
    </x:cfRule>
    <x:cfRule type="expression" dxfId="0" priority="295">
      <x:formula>$B30="日"</x:formula>
    </x:cfRule>
    <x:cfRule type="timePeriod" dxfId="1" priority="296" timePeriod="lastMonth">
      <x:formula>AND(MONTH(J30)=MONTH(EDATE(TODAY(),0-1)),YEAR(J30)=YEAR(EDATE(TODAY(),0-1)))</x:formula>
    </x:cfRule>
  </x:conditionalFormatting>
  <x:conditionalFormatting sqref="H31:H31">
    <x:cfRule type="expression" dxfId="0" priority="34">
      <x:formula>$B31="土"</x:formula>
    </x:cfRule>
    <x:cfRule type="expression" dxfId="0" priority="35">
      <x:formula>$B31="日"</x:formula>
    </x:cfRule>
    <x:cfRule type="timePeriod" dxfId="1" priority="36" timePeriod="lastMonth">
      <x:formula>AND(MONTH(H31)=MONTH(EDATE(TODAY(),0-1)),YEAR(H31)=YEAR(EDATE(TODAY(),0-1)))</x:formula>
    </x:cfRule>
  </x:conditionalFormatting>
  <x:conditionalFormatting sqref="I31:I31">
    <x:cfRule type="expression" dxfId="0" priority="31">
      <x:formula>$B31="土"</x:formula>
    </x:cfRule>
    <x:cfRule type="expression" dxfId="0" priority="32">
      <x:formula>$B31="日"</x:formula>
    </x:cfRule>
    <x:cfRule type="timePeriod" dxfId="1" priority="33" timePeriod="lastMonth">
      <x:formula>AND(MONTH(I31)=MONTH(EDATE(TODAY(),0-1)),YEAR(I31)=YEAR(EDATE(TODAY(),0-1)))</x:formula>
    </x:cfRule>
  </x:conditionalFormatting>
  <x:conditionalFormatting sqref="J31:J31">
    <x:cfRule type="expression" dxfId="0" priority="300">
      <x:formula>$B31="土"</x:formula>
    </x:cfRule>
    <x:cfRule type="expression" dxfId="0" priority="301">
      <x:formula>$B31="日"</x:formula>
    </x:cfRule>
  </x:conditionalFormatting>
  <x:conditionalFormatting sqref="J31:K31">
    <x:cfRule type="timePeriod" dxfId="1" priority="302" timePeriod="lastMonth">
      <x:formula>AND(MONTH(J31)=MONTH(EDATE(TODAY(),0-1)),YEAR(J31)=YEAR(EDATE(TODAY(),0-1)))</x:formula>
    </x:cfRule>
  </x:conditionalFormatting>
  <x:conditionalFormatting sqref="K31:K31">
    <x:cfRule type="expression" dxfId="0" priority="303">
      <x:formula>WEEKDAY(K$10)=L$4</x:formula>
    </x:cfRule>
  </x:conditionalFormatting>
  <x:conditionalFormatting sqref="A33:B33">
    <x:cfRule type="expression" dxfId="0" priority="362">
      <x:formula>$B33="土"</x:formula>
    </x:cfRule>
    <x:cfRule type="expression" dxfId="0" priority="363">
      <x:formula>$B33="日"</x:formula>
    </x:cfRule>
  </x:conditionalFormatting>
  <x:conditionalFormatting sqref="B33:B33">
    <x:cfRule type="timePeriod" dxfId="1" priority="364" timePeriod="lastMonth">
      <x:formula>AND(MONTH(B33)=MONTH(EDATE(TODAY(),0-1)),YEAR(B33)=YEAR(EDATE(TODAY(),0-1)))</x:formula>
    </x:cfRule>
  </x:conditionalFormatting>
  <x:conditionalFormatting sqref="J33:J33">
    <x:cfRule type="timePeriod" dxfId="1" priority="358" timePeriod="lastMonth">
      <x:formula>AND(MONTH(J33)=MONTH(EDATE(TODAY(),0-1)),YEAR(J33)=YEAR(EDATE(TODAY(),0-1)))</x:formula>
    </x:cfRule>
    <x:cfRule type="expression" dxfId="2" priority="356">
      <x:formula>$B33="日"</x:formula>
    </x:cfRule>
    <x:cfRule type="expression" dxfId="2" priority="357">
      <x:formula>$B33="土"</x:formula>
    </x:cfRule>
  </x:conditionalFormatting>
  <x:conditionalFormatting sqref="A36:B36">
    <x:cfRule type="expression" dxfId="0" priority="452">
      <x:formula>$B36="土"</x:formula>
    </x:cfRule>
    <x:cfRule type="expression" dxfId="0" priority="453">
      <x:formula>$B36="日"</x:formula>
    </x:cfRule>
  </x:conditionalFormatting>
  <x:conditionalFormatting sqref="H36:H36">
    <x:cfRule type="expression" dxfId="0" priority="19">
      <x:formula>$B36="土"</x:formula>
    </x:cfRule>
    <x:cfRule type="expression" dxfId="0" priority="20">
      <x:formula>$B36="日"</x:formula>
    </x:cfRule>
    <x:cfRule type="timePeriod" dxfId="1" priority="21" timePeriod="lastMonth">
      <x:formula>AND(MONTH(H36)=MONTH(EDATE(TODAY(),0-1)),YEAR(H36)=YEAR(EDATE(TODAY(),0-1)))</x:formula>
    </x:cfRule>
  </x:conditionalFormatting>
  <x:conditionalFormatting sqref="J36:J36">
    <x:cfRule type="expression" dxfId="0" priority="413">
      <x:formula>$B36="土"</x:formula>
    </x:cfRule>
    <x:cfRule type="expression" dxfId="0" priority="414">
      <x:formula>$B36="日"</x:formula>
    </x:cfRule>
    <x:cfRule type="timePeriod" dxfId="1" priority="415" timePeriod="lastMonth">
      <x:formula>AND(MONTH(J36)=MONTH(EDATE(TODAY(),0-1)),YEAR(J36)=YEAR(EDATE(TODAY(),0-1)))</x:formula>
    </x:cfRule>
  </x:conditionalFormatting>
  <x:conditionalFormatting sqref="K36:K36">
    <x:cfRule type="timePeriod" dxfId="1" priority="186" timePeriod="lastMonth">
      <x:formula>AND(MONTH(K36)=MONTH(EDATE(TODAY(),0-1)),YEAR(K36)=YEAR(EDATE(TODAY(),0-1)))</x:formula>
    </x:cfRule>
    <x:cfRule type="expression" dxfId="0" priority="187">
      <x:formula>WEEKDAY(K$10)=L$4</x:formula>
    </x:cfRule>
  </x:conditionalFormatting>
  <x:conditionalFormatting sqref="B37:B37">
    <x:cfRule type="timePeriod" dxfId="1" priority="275" timePeriod="lastMonth">
      <x:formula>AND(MONTH(B37)=MONTH(EDATE(TODAY(),0-1)),YEAR(B37)=YEAR(EDATE(TODAY(),0-1)))</x:formula>
    </x:cfRule>
  </x:conditionalFormatting>
  <x:conditionalFormatting sqref="H37:H37">
    <x:cfRule type="expression" dxfId="0" priority="16">
      <x:formula>$B37="土"</x:formula>
    </x:cfRule>
    <x:cfRule type="expression" dxfId="0" priority="17">
      <x:formula>$B37="日"</x:formula>
    </x:cfRule>
    <x:cfRule type="timePeriod" dxfId="1" priority="18" timePeriod="lastMonth">
      <x:formula>AND(MONTH(H37)=MONTH(EDATE(TODAY(),0-1)),YEAR(H37)=YEAR(EDATE(TODAY(),0-1)))</x:formula>
    </x:cfRule>
  </x:conditionalFormatting>
  <x:conditionalFormatting sqref="J37:K37">
    <x:cfRule type="expression" dxfId="0" priority="263">
      <x:formula>$B37="土"</x:formula>
    </x:cfRule>
    <x:cfRule type="expression" dxfId="0" priority="264">
      <x:formula>$B37="日"</x:formula>
    </x:cfRule>
    <x:cfRule type="timePeriod" dxfId="1" priority="265" timePeriod="lastMonth">
      <x:formula>AND(MONTH(J37)=MONTH(EDATE(TODAY(),0-1)),YEAR(J37)=YEAR(EDATE(TODAY(),0-1)))</x:formula>
    </x:cfRule>
  </x:conditionalFormatting>
  <x:conditionalFormatting sqref="B23:B24">
    <x:cfRule type="timePeriod" dxfId="1" priority="349" timePeriod="lastMonth">
      <x:formula>AND(MONTH(B23)=MONTH(EDATE(TODAY(),0-1)),YEAR(B23)=YEAR(EDATE(TODAY(),0-1)))</x:formula>
    </x:cfRule>
  </x:conditionalFormatting>
  <x:conditionalFormatting sqref="B30:B31">
    <x:cfRule type="timePeriod" dxfId="1" priority="309" timePeriod="lastMonth">
      <x:formula>AND(MONTH(B30)=MONTH(EDATE(TODAY(),0-1)),YEAR(B30)=YEAR(EDATE(TODAY(),0-1)))</x:formula>
    </x:cfRule>
  </x:conditionalFormatting>
  <x:conditionalFormatting sqref="G16:G19">
    <x:cfRule type="timePeriod" dxfId="1" priority="422" timePeriod="lastMonth">
      <x:formula>AND(MONTH(G16)=MONTH(EDATE(TODAY(),0-1)),YEAR(G16)=YEAR(EDATE(TODAY(),0-1)))</x:formula>
    </x:cfRule>
    <x:cfRule type="expression" dxfId="0" priority="423">
      <x:formula>$B16="土"</x:formula>
    </x:cfRule>
    <x:cfRule type="expression" dxfId="0" priority="424">
      <x:formula>$B16="日"</x:formula>
    </x:cfRule>
  </x:conditionalFormatting>
  <x:conditionalFormatting sqref="H25:H26">
    <x:cfRule type="expression" dxfId="0" priority="64">
      <x:formula>$B25="土"</x:formula>
    </x:cfRule>
    <x:cfRule type="expression" dxfId="0" priority="65">
      <x:formula>$B25="日"</x:formula>
    </x:cfRule>
    <x:cfRule type="timePeriod" dxfId="1" priority="66" timePeriod="lastMonth">
      <x:formula>AND(MONTH(H25)=MONTH(EDATE(TODAY(),0-1)),YEAR(H25)=YEAR(EDATE(TODAY(),0-1)))</x:formula>
    </x:cfRule>
  </x:conditionalFormatting>
  <x:conditionalFormatting sqref="H32:H33">
    <x:cfRule type="expression" dxfId="0" priority="52">
      <x:formula>$B32="土"</x:formula>
    </x:cfRule>
    <x:cfRule type="expression" dxfId="0" priority="53">
      <x:formula>$B32="日"</x:formula>
    </x:cfRule>
    <x:cfRule type="timePeriod" dxfId="1" priority="54" timePeriod="lastMonth">
      <x:formula>AND(MONTH(H32)=MONTH(EDATE(TODAY(),0-1)),YEAR(H32)=YEAR(EDATE(TODAY(),0-1)))</x:formula>
    </x:cfRule>
  </x:conditionalFormatting>
  <x:conditionalFormatting sqref="I25:I26">
    <x:cfRule type="timePeriod" dxfId="1" priority="67" timePeriod="lastMonth">
      <x:formula>AND(MONTH(I25)=MONTH(EDATE(TODAY(),0-1)),YEAR(I25)=YEAR(EDATE(TODAY(),0-1)))</x:formula>
    </x:cfRule>
    <x:cfRule type="expression" dxfId="0" priority="68">
      <x:formula>$B25="土"</x:formula>
    </x:cfRule>
    <x:cfRule type="expression" dxfId="0" priority="69">
      <x:formula>$B25="日"</x:formula>
    </x:cfRule>
  </x:conditionalFormatting>
  <x:conditionalFormatting sqref="I32:I33">
    <x:cfRule type="expression" dxfId="0" priority="49">
      <x:formula>$B32="土"</x:formula>
    </x:cfRule>
    <x:cfRule type="expression" dxfId="0" priority="50">
      <x:formula>$B32="日"</x:formula>
    </x:cfRule>
    <x:cfRule type="timePeriod" dxfId="1" priority="51" timePeriod="lastMonth">
      <x:formula>AND(MONTH(I32)=MONTH(EDATE(TODAY(),0-1)),YEAR(I32)=YEAR(EDATE(TODAY(),0-1)))</x:formula>
    </x:cfRule>
  </x:conditionalFormatting>
  <x:conditionalFormatting sqref="I36:I37">
    <x:cfRule type="expression" dxfId="0" priority="25">
      <x:formula>$B36="土"</x:formula>
    </x:cfRule>
    <x:cfRule type="expression" dxfId="0" priority="26">
      <x:formula>$B36="日"</x:formula>
    </x:cfRule>
    <x:cfRule type="timePeriod" dxfId="1" priority="27" timePeriod="lastMonth">
      <x:formula>AND(MONTH(I36)=MONTH(EDATE(TODAY(),0-1)),YEAR(I36)=YEAR(EDATE(TODAY(),0-1)))</x:formula>
    </x:cfRule>
  </x:conditionalFormatting>
  <x:conditionalFormatting sqref="K11:K12">
    <x:cfRule type="timePeriod" dxfId="1" priority="188" timePeriod="lastMonth">
      <x:formula>AND(MONTH(K11)=MONTH(EDATE(TODAY(),0-1)),YEAR(K11)=YEAR(EDATE(TODAY(),0-1)))</x:formula>
    </x:cfRule>
    <x:cfRule type="expression" dxfId="0" priority="189">
      <x:formula>WEEKDAY(K$10)=L$4</x:formula>
    </x:cfRule>
  </x:conditionalFormatting>
  <x:conditionalFormatting sqref="K32:K33">
    <x:cfRule type="timePeriod" dxfId="1" priority="128" timePeriod="lastMonth">
      <x:formula>AND(MONTH(K32)=MONTH(EDATE(TODAY(),0-1)),YEAR(K32)=YEAR(EDATE(TODAY(),0-1)))</x:formula>
    </x:cfRule>
    <x:cfRule type="expression" dxfId="3" priority="129">
      <x:formula>WEEKDAY(K$10)=L$4</x:formula>
    </x:cfRule>
  </x:conditionalFormatting>
  <x:conditionalFormatting sqref="A10:B12 A22:B22 A15:B18">
    <x:cfRule type="expression" dxfId="0" priority="477">
      <x:formula>$B10="土"</x:formula>
    </x:cfRule>
    <x:cfRule type="expression" dxfId="0" priority="478">
      <x:formula>$B10="日"</x:formula>
    </x:cfRule>
  </x:conditionalFormatting>
  <x:conditionalFormatting sqref="A22:F26 A10:G12 A15:G19 J15:K19 J22:K26 J29:K33 J36:K37 J10:K12 A36:F37 A29:F33">
    <x:cfRule type="expression" dxfId="4" priority="103">
      <x:formula>OR(TEXT($A10,"ddd")="Sat",TEXT($A10,"ddd")="Sun")</x:formula>
    </x:cfRule>
    <x:cfRule type="expression" priority="104">
      <x:formula>OR(TEXT($A1,"ddd")="Sat",TEXT($A1,"ddd")="Sun")</x:formula>
    </x:cfRule>
    <x:cfRule type="expression" priority="105">
      <x:formula>OR(TEXT($A10,"ddd")="Sat",TEXT($A1,"ddd")="Sun")</x:formula>
    </x:cfRule>
    <x:cfRule type="expression" priority="106">
      <x:formula>OR(TEXT($A1,"ddd")="Sat",TEXT($A1,"ddd")="Sun")</x:formula>
    </x:cfRule>
  </x:conditionalFormatting>
  <x:conditionalFormatting sqref="B10:B12 B22:B22 B29:B29 B36:B36 B25:B25 B32:B32 B15:B18">
    <x:cfRule type="timePeriod" dxfId="1" priority="479" timePeriod="lastMonth">
      <x:formula>AND(MONTH(B10)=MONTH(EDATE(TODAY(),0-1)),YEAR(B10)=YEAR(EDATE(TODAY(),0-1)))</x:formula>
    </x:cfRule>
  </x:conditionalFormatting>
  <x:conditionalFormatting sqref="C10:E12 C22:E26 C36:E37 C29:E33 C15:E19">
    <x:cfRule type="timePeriod" dxfId="1" priority="410" timePeriod="lastMonth">
      <x:formula>AND(MONTH(C10)=MONTH(EDATE(TODAY(),0-1)),YEAR(C10)=YEAR(EDATE(TODAY(),0-1)))</x:formula>
    </x:cfRule>
    <x:cfRule type="expression" dxfId="0" priority="411">
      <x:formula>$B10="土"</x:formula>
    </x:cfRule>
    <x:cfRule type="expression" dxfId="0" priority="412">
      <x:formula>$B10="日"</x:formula>
    </x:cfRule>
  </x:conditionalFormatting>
  <x:conditionalFormatting sqref="E10:E12 E22:E26 E36:E37 E29:E33 E15:E19">
    <x:cfRule type="timePeriod" dxfId="1" priority="401" timePeriod="lastMonth">
      <x:formula>AND(MONTH(E10)=MONTH(EDATE(TODAY(),0-1)),YEAR(E10)=YEAR(EDATE(TODAY(),0-1)))</x:formula>
    </x:cfRule>
    <x:cfRule type="expression" dxfId="0" priority="402">
      <x:formula>$B10="土"</x:formula>
    </x:cfRule>
    <x:cfRule type="expression" dxfId="0" priority="403">
      <x:formula>$B10="日"</x:formula>
    </x:cfRule>
    <x:cfRule type="expression" dxfId="0" priority="405">
      <x:formula>$B10="土"</x:formula>
    </x:cfRule>
    <x:cfRule type="expression" dxfId="0" priority="406">
      <x:formula>$B10="日"</x:formula>
    </x:cfRule>
    <x:cfRule type="timePeriod" dxfId="1" priority="404" timePeriod="lastMonth">
      <x:formula>AND(MONTH(E10)=MONTH(EDATE(TODAY(),0-1)),YEAR(E10)=YEAR(EDATE(TODAY(),0-1)))</x:formula>
    </x:cfRule>
  </x:conditionalFormatting>
  <x:conditionalFormatting sqref="F10:F12 F22:F26 F36:F37 F29:F33 F15:F19">
    <x:cfRule type="timePeriod" dxfId="1" priority="392" timePeriod="lastMonth">
      <x:formula>AND(MONTH(F10)=MONTH(EDATE(TODAY(),0-1)),YEAR(F10)=YEAR(EDATE(TODAY(),0-1)))</x:formula>
    </x:cfRule>
    <x:cfRule type="expression" dxfId="0" priority="393">
      <x:formula>$B10="土"</x:formula>
    </x:cfRule>
    <x:cfRule type="expression" dxfId="0" priority="394">
      <x:formula>$B10="日"</x:formula>
    </x:cfRule>
    <x:cfRule type="timePeriod" dxfId="1" priority="389" timePeriod="lastMonth">
      <x:formula>AND(MONTH(F10)=MONTH(EDATE(TODAY(),0-1)),YEAR(F10)=YEAR(EDATE(TODAY(),0-1)))</x:formula>
    </x:cfRule>
    <x:cfRule type="expression" dxfId="0" priority="390">
      <x:formula>$B10="土"</x:formula>
    </x:cfRule>
    <x:cfRule type="expression" dxfId="0" priority="391">
      <x:formula>$B10="日"</x:formula>
    </x:cfRule>
    <x:cfRule type="timePeriod" dxfId="1" priority="380" timePeriod="lastMonth">
      <x:formula>AND(MONTH(F10)=MONTH(EDATE(TODAY(),0-1)),YEAR(F10)=YEAR(EDATE(TODAY(),0-1)))</x:formula>
    </x:cfRule>
    <x:cfRule type="expression" dxfId="0" priority="381">
      <x:formula>$B10="土"</x:formula>
    </x:cfRule>
    <x:cfRule type="expression" dxfId="0" priority="382">
      <x:formula>$B10="日"</x:formula>
    </x:cfRule>
  </x:conditionalFormatting>
  <x:conditionalFormatting sqref="G10:G12 G15:G19">
    <x:cfRule type="timePeriod" dxfId="1" priority="110" timePeriod="lastMonth">
      <x:formula>AND(MONTH(G10)=MONTH(EDATE(TODAY(),0-1)),YEAR(G10)=YEAR(EDATE(TODAY(),0-1)))</x:formula>
    </x:cfRule>
    <x:cfRule type="timePeriod" dxfId="1" priority="107" timePeriod="lastMonth">
      <x:formula>AND(MONTH(G10)=MONTH(EDATE(TODAY(),0-1)),YEAR(G10)=YEAR(EDATE(TODAY(),0-1)))</x:formula>
    </x:cfRule>
    <x:cfRule type="timePeriod" dxfId="1" priority="113" timePeriod="lastMonth">
      <x:formula>AND(MONTH(G10)=MONTH(EDATE(TODAY(),0-1)),YEAR(G10)=YEAR(EDATE(TODAY(),0-1)))</x:formula>
    </x:cfRule>
    <x:cfRule type="expression" dxfId="0" priority="114">
      <x:formula>$B10="土"</x:formula>
    </x:cfRule>
    <x:cfRule type="expression" dxfId="0" priority="115">
      <x:formula>$B10="日"</x:formula>
    </x:cfRule>
    <x:cfRule type="expression" dxfId="0" priority="111">
      <x:formula>$B10="土"</x:formula>
    </x:cfRule>
    <x:cfRule type="expression" dxfId="0" priority="112">
      <x:formula>$B10="日"</x:formula>
    </x:cfRule>
    <x:cfRule type="expression" dxfId="0" priority="108">
      <x:formula>$B10="土"</x:formula>
    </x:cfRule>
    <x:cfRule type="expression" dxfId="0" priority="109">
      <x:formula>$B10="日"</x:formula>
    </x:cfRule>
  </x:conditionalFormatting>
  <x:conditionalFormatting sqref="J11:J11 J32:J32">
    <x:cfRule type="timePeriod" dxfId="1" priority="470" timePeriod="lastMonth">
      <x:formula>AND(MONTH(J11)=MONTH(EDATE(TODAY(),0-1)),YEAR(J11)=YEAR(EDATE(TODAY(),0-1)))</x:formula>
    </x:cfRule>
  </x:conditionalFormatting>
  <x:conditionalFormatting sqref="J16:K16 J15:J15">
    <x:cfRule type="expression" dxfId="0" priority="416">
      <x:formula>$B15="土"</x:formula>
    </x:cfRule>
    <x:cfRule type="expression" dxfId="0" priority="417">
      <x:formula>$B15="日"</x:formula>
    </x:cfRule>
    <x:cfRule type="timePeriod" dxfId="1" priority="418" timePeriod="lastMonth">
      <x:formula>AND(MONTH(J15)=MONTH(EDATE(TODAY(),0-1)),YEAR(J15)=YEAR(EDATE(TODAY(),0-1)))</x:formula>
    </x:cfRule>
  </x:conditionalFormatting>
  <x:conditionalFormatting sqref="K18:K19 K22:K22">
    <x:cfRule type="timePeriod" dxfId="1" priority="132" timePeriod="lastMonth">
      <x:formula>AND(MONTH(K18)=MONTH(EDATE(TODAY(),0-1)),YEAR(K18)=YEAR(EDATE(TODAY(),0-1)))</x:formula>
    </x:cfRule>
    <x:cfRule type="expression" dxfId="3" priority="133">
      <x:formula>WEEKDAY(K$10)=L$4</x:formula>
    </x:cfRule>
  </x:conditionalFormatting>
  <x:conditionalFormatting sqref="A23:B24">
    <x:cfRule type="expression" dxfId="0" priority="347">
      <x:formula>$B23="土"</x:formula>
    </x:cfRule>
    <x:cfRule type="expression" dxfId="0" priority="348">
      <x:formula>$B23="日"</x:formula>
    </x:cfRule>
  </x:conditionalFormatting>
  <x:conditionalFormatting sqref="J25:J26 J29:J29">
    <x:cfRule type="expression" dxfId="0" priority="151">
      <x:formula>$B25="土"</x:formula>
    </x:cfRule>
    <x:cfRule type="expression" dxfId="0" priority="152">
      <x:formula>$B25="日"</x:formula>
    </x:cfRule>
    <x:cfRule type="timePeriod" dxfId="1" priority="153" timePeriod="lastMonth">
      <x:formula>AND(MONTH(J25)=MONTH(EDATE(TODAY(),0-1)),YEAR(J25)=YEAR(EDATE(TODAY(),0-1)))</x:formula>
    </x:cfRule>
  </x:conditionalFormatting>
  <x:conditionalFormatting sqref="K25:K26 K29:K29">
    <x:cfRule type="timePeriod" dxfId="1" priority="130" timePeriod="lastMonth">
      <x:formula>AND(MONTH(K25)=MONTH(EDATE(TODAY(),0-1)),YEAR(K25)=YEAR(EDATE(TODAY(),0-1)))</x:formula>
    </x:cfRule>
    <x:cfRule type="expression" dxfId="3" priority="131">
      <x:formula>WEEKDAY(K$10)=L$4</x:formula>
    </x:cfRule>
  </x:conditionalFormatting>
  <x:conditionalFormatting sqref="A29:B29 A37:B37">
    <x:cfRule type="expression" dxfId="0" priority="457">
      <x:formula>$B29="土"</x:formula>
    </x:cfRule>
    <x:cfRule type="expression" dxfId="0" priority="458">
      <x:formula>$B29="日"</x:formula>
    </x:cfRule>
  </x:conditionalFormatting>
  <x:conditionalFormatting sqref="A30:B31">
    <x:cfRule type="expression" dxfId="0" priority="307">
      <x:formula>$B30="土"</x:formula>
    </x:cfRule>
    <x:cfRule type="expression" dxfId="0" priority="308">
      <x:formula>$B30="日"</x:formula>
    </x:cfRule>
  </x:conditionalFormatting>
  <x:conditionalFormatting sqref="A32:B32 J32:J32">
    <x:cfRule type="expression" dxfId="0" priority="471">
      <x:formula>$B32="土"</x:formula>
    </x:cfRule>
    <x:cfRule type="expression" dxfId="0" priority="472">
      <x:formula>$B32="日"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399999618530273"/>
  <x:cols>
    <x:col min="1" max="1" width="19.13888931274414" style="49" customWidth="1"/>
    <x:col min="2" max="2" width="4.287036895751953" style="49" customWidth="1"/>
    <x:col min="3" max="7" width="14.13888931274414" style="49" customWidth="1"/>
    <x:col min="8" max="8" width="15.712963104248047" style="49" customWidth="1"/>
    <x:col min="9" max="9" width="50.28703689575195" style="49" customWidth="1"/>
    <x:col min="10" max="10" width="17.425926208496094" style="49" customWidth="1"/>
    <x:col min="11" max="11" width="23.13888931274414" style="49" customWidth="1"/>
    <x:col min="12" max="16384" width="9.13888931274414" style="49" customWidth="0"/>
  </x:cols>
  <x:sheetData>
    <x:row r="5">
      <x:c r="A5" s="49" t="s">
        <x:v>27</x:v>
      </x:c>
      <x:c r="B5" s="49">
        <x:v>4</x:v>
      </x:c>
    </x:row>
    <x:row r="7">
      <x:c r="A7" s="49">
        <x:v>2026</x:v>
      </x:c>
      <x:c r="B7" s="49">
        <x:v>5</x:v>
      </x:c>
    </x:row>
    <x:row r="8">
      <x:c r="F8" s="50"/>
    </x:row>
    <x:row r="9" s="47" customFormat="1">
      <x:c r="A9" s="51"/>
      <x:c r="B9" s="51"/>
      <x:c r="C9" s="52" t="s">
        <x:v>10</x:v>
      </x:c>
      <x:c r="D9" s="52" t="s">
        <x:v>11</x:v>
      </x:c>
      <x:c r="E9" s="52" t="s">
        <x:v>12</x:v>
      </x:c>
      <x:c r="F9" s="52" t="s">
        <x:v>13</x:v>
      </x:c>
      <x:c r="G9" s="52" t="s">
        <x:v>14</x:v>
      </x:c>
      <x:c r="H9" s="52" t="s">
        <x:v>15</x:v>
      </x:c>
      <x:c r="I9" s="52" t="s">
        <x:v>16</x:v>
      </x:c>
      <x:c r="J9" s="52" t="s">
        <x:v>17</x:v>
      </x:c>
      <x:c r="K9" s="52" t="s">
        <x:v>18</x:v>
      </x:c>
    </x:row>
    <x:row r="10" ht="16.799999237060547">
      <x:c r="A10" s="74" t="n">
        <x:f>DATE(A7,B7,1)</x:f>
        <x:v>46143</x:v>
      </x:c>
      <x:c r="B10" s="43" t="str">
        <x:f t="shared" ref="B10:B40" si="0">TEXT(A10,"ddd")</x:f>
        <x:v>Fri</x:v>
      </x:c>
      <x:c r="C10" s="41"/>
      <x:c r="D10" s="41"/>
      <x:c r="E10" s="41"/>
      <x:c r="F10" s="41"/>
      <x:c r="G10" s="75"/>
      <x:c r="H10" s="76"/>
      <x:c r="I10" s="43"/>
      <x:c r="J10" s="43"/>
      <x:c r="K10" s="78"/>
    </x:row>
    <x:row r="11" ht="16.799999237060547">
      <x:c r="A11" s="74" t="n">
        <x:f t="shared" ref="A11:A40" si="1">A10+1</x:f>
        <x:v>46144</x:v>
      </x:c>
      <x:c r="B11" s="43" t="str">
        <x:f t="shared" si="0"/>
        <x:v>Sat</x:v>
      </x:c>
      <x:c r="C11" s="41"/>
      <x:c r="D11" s="41"/>
      <x:c r="E11" s="41"/>
      <x:c r="F11" s="41"/>
      <x:c r="G11" s="75"/>
      <x:c r="H11" s="76"/>
      <x:c r="I11" s="43"/>
      <x:c r="J11" s="43"/>
      <x:c r="K11" s="78"/>
    </x:row>
    <x:row r="12" ht="16.799999237060547">
      <x:c r="A12" s="74">
        <x:f t="shared" si="1"/>
        <x:v>46145</x:v>
      </x:c>
      <x:c r="B12" s="43" t="str">
        <x:f t="shared" si="0"/>
        <x:v>Sun</x:v>
      </x:c>
      <x:c r="C12" s="41"/>
      <x:c r="D12" s="41"/>
      <x:c r="E12" s="41"/>
      <x:c r="F12" s="41"/>
      <x:c r="G12" s="75"/>
      <x:c r="H12" s="76"/>
      <x:c r="I12" s="43"/>
      <x:c r="J12" s="41"/>
      <x:c r="K12" s="78"/>
    </x:row>
    <x:row r="13">
      <x:c r="A13" s="74">
        <x:f t="shared" si="1"/>
        <x:v>46146</x:v>
      </x:c>
      <x:c r="B13" s="43" t="str">
        <x:f t="shared" si="0"/>
        <x:v>Mon</x:v>
      </x:c>
      <x:c r="C13" s="41"/>
      <x:c r="D13" s="41"/>
      <x:c r="E13" s="41"/>
      <x:c r="F13" s="41"/>
      <x:c r="G13" s="75"/>
      <x:c r="H13" s="43"/>
      <x:c r="I13" s="43"/>
      <x:c r="J13" s="41"/>
      <x:c r="K13" s="43"/>
    </x:row>
    <x:row r="14">
      <x:c r="A14" s="74">
        <x:f t="shared" si="1"/>
        <x:v>46147</x:v>
      </x:c>
      <x:c r="B14" s="43" t="str">
        <x:f t="shared" si="0"/>
        <x:v>Tue</x:v>
      </x:c>
      <x:c r="C14" s="41"/>
      <x:c r="D14" s="41"/>
      <x:c r="E14" s="41"/>
      <x:c r="F14" s="41"/>
      <x:c r="G14" s="75"/>
      <x:c r="H14" s="43"/>
      <x:c r="I14" s="43"/>
      <x:c r="J14" s="41"/>
      <x:c r="K14" s="43"/>
    </x:row>
    <x:row r="15" s="48" customFormat="1" ht="16.799999237060547">
      <x:c r="A15" s="53">
        <x:f t="shared" si="1"/>
        <x:v>46148</x:v>
      </x:c>
      <x:c r="B15" s="54" t="str">
        <x:f t="shared" si="0"/>
        <x:v>Wed</x:v>
      </x:c>
      <x:c r="C15" s="55">
        <x:v>0.333333333333333</x:v>
      </x:c>
      <x:c r="D15" s="55">
        <x:v>0.708333333333333</x:v>
      </x:c>
      <x:c r="E15" s="55">
        <x:v>0.0416666666666667</x:v>
      </x:c>
      <x:c r="F15" s="56">
        <x:v>0.333333333333333</x:v>
      </x:c>
      <x:c r="G15" s="57">
        <x:v>0.333333333333333</x:v>
      </x:c>
      <x:c r="H15" s="58"/>
      <x:c r="I15" s="54"/>
      <x:c r="J15" s="55"/>
      <x:c r="K15" s="69"/>
    </x:row>
    <x:row r="16" s="48" customFormat="1" ht="16.799999237060547">
      <x:c r="A16" s="53">
        <x:f t="shared" si="1"/>
        <x:v>46149</x:v>
      </x:c>
      <x:c r="B16" s="54" t="str">
        <x:f t="shared" si="0"/>
        <x:v>Thu</x:v>
      </x:c>
      <x:c r="C16" s="55">
        <x:v>0.333333333333333</x:v>
      </x:c>
      <x:c r="D16" s="55">
        <x:v>0.708333333333333</x:v>
      </x:c>
      <x:c r="E16" s="55">
        <x:v>0.0416666666666667</x:v>
      </x:c>
      <x:c r="F16" s="56" t="n">
        <x:f>D16-C16-E16</x:f>
        <x:v>0.33333333333333337</x:v>
      </x:c>
      <x:c r="G16" s="57">
        <x:v>0.333333333333333</x:v>
      </x:c>
      <x:c r="H16" s="58" t="s">
        <x:v>20</x:v>
      </x:c>
      <x:c r="I16" s="54" t="s">
        <x:v>22</x:v>
      </x:c>
      <x:c r="J16" s="55"/>
      <x:c r="K16" s="72"/>
    </x:row>
    <x:row r="17" s="48" customFormat="1">
      <x:c r="A17" s="53">
        <x:f t="shared" si="1"/>
        <x:v>46150</x:v>
      </x:c>
      <x:c r="B17" s="54" t="str">
        <x:f t="shared" si="0"/>
        <x:v>Fri</x:v>
      </x:c>
      <x:c r="C17" s="55">
        <x:v>0.333333333333333</x:v>
      </x:c>
      <x:c r="D17" s="55">
        <x:v>0.791666666666667</x:v>
      </x:c>
      <x:c r="E17" s="55">
        <x:v>0.0833333333333333</x:v>
      </x:c>
      <x:c r="F17" s="56" t="n">
        <x:f>D17-C17-E17</x:f>
        <x:v>0.37500000000000067</x:v>
      </x:c>
      <x:c r="G17" s="57">
        <x:v>0.375</x:v>
      </x:c>
      <x:c r="H17" s="54" t="s">
        <x:v>20</x:v>
      </x:c>
      <x:c r="I17" s="54" t="s">
        <x:v>22</x:v>
      </x:c>
      <x:c r="J17" s="54"/>
      <x:c r="K17" s="72"/>
    </x:row>
    <x:row r="18" s="48" customFormat="1">
      <x:c r="A18" s="74">
        <x:f t="shared" si="1"/>
        <x:v>46151</x:v>
      </x:c>
      <x:c r="B18" s="43" t="str">
        <x:f t="shared" si="0"/>
        <x:v>Sat</x:v>
      </x:c>
      <x:c r="C18" s="41"/>
      <x:c r="D18" s="41"/>
      <x:c r="E18" s="41"/>
      <x:c r="F18" s="41"/>
      <x:c r="G18" s="75"/>
      <x:c r="H18" s="43"/>
      <x:c r="I18" s="43"/>
      <x:c r="J18" s="41"/>
      <x:c r="K18" s="78"/>
    </x:row>
    <x:row r="19" s="48" customFormat="1" ht="16.799999237060547">
      <x:c r="A19" s="74">
        <x:f t="shared" si="1"/>
        <x:v>46152</x:v>
      </x:c>
      <x:c r="B19" s="43" t="str">
        <x:f t="shared" si="0"/>
        <x:v>Sun</x:v>
      </x:c>
      <x:c r="C19" s="41"/>
      <x:c r="D19" s="41"/>
      <x:c r="E19" s="41"/>
      <x:c r="F19" s="41"/>
      <x:c r="G19" s="75"/>
      <x:c r="H19" s="76"/>
      <x:c r="I19" s="43"/>
      <x:c r="J19" s="41"/>
      <x:c r="K19" s="78"/>
    </x:row>
    <x:row r="20" s="48" customFormat="1">
      <x:c r="A20" s="53">
        <x:f t="shared" si="1"/>
        <x:v>46153</x:v>
      </x:c>
      <x:c r="B20" s="54" t="str">
        <x:f t="shared" si="0"/>
        <x:v>Mon</x:v>
      </x:c>
      <x:c r="C20" s="55">
        <x:v>0.333333333333333</x:v>
      </x:c>
      <x:c r="D20" s="55">
        <x:v>0.833333333333333</x:v>
      </x:c>
      <x:c r="E20" s="55">
        <x:v>0.0833333333333333</x:v>
      </x:c>
      <x:c r="F20" s="56" t="n">
        <x:f t="shared" ref="F20:F22" si="2">D20-C20-E20</x:f>
        <x:v>0.4166666666666667</x:v>
      </x:c>
      <x:c r="G20" s="57">
        <x:v>0.416666666666667</x:v>
      </x:c>
      <x:c r="H20" s="54" t="s">
        <x:v>20</x:v>
      </x:c>
      <x:c r="I20" s="54" t="s">
        <x:v>22</x:v>
      </x:c>
      <x:c r="J20" s="55"/>
      <x:c r="K20" s="54"/>
    </x:row>
    <x:row r="21" s="48" customFormat="1">
      <x:c r="A21" s="53">
        <x:f t="shared" si="1"/>
        <x:v>46154</x:v>
      </x:c>
      <x:c r="B21" s="54" t="str">
        <x:f t="shared" si="0"/>
        <x:v>Tue</x:v>
      </x:c>
      <x:c r="C21" s="55">
        <x:v>0.333333333333333</x:v>
      </x:c>
      <x:c r="D21" s="55">
        <x:v>0.791666666666667</x:v>
      </x:c>
      <x:c r="E21" s="55">
        <x:v>0.0833333333333333</x:v>
      </x:c>
      <x:c r="F21" s="56">
        <x:f t="shared" si="2"/>
        <x:v>0.375</x:v>
      </x:c>
      <x:c r="G21" s="57">
        <x:v>0.375</x:v>
      </x:c>
      <x:c r="H21" s="54" t="s">
        <x:v>23</x:v>
      </x:c>
      <x:c r="I21" s="54" t="s">
        <x:v>24</x:v>
      </x:c>
      <x:c r="J21" s="55"/>
      <x:c r="K21" s="54"/>
    </x:row>
    <x:row r="22" s="48" customFormat="1">
      <x:c r="A22" s="53">
        <x:f t="shared" si="1"/>
        <x:v>46155</x:v>
      </x:c>
      <x:c r="B22" s="54" t="str">
        <x:f t="shared" si="0"/>
        <x:v>Wed</x:v>
      </x:c>
      <x:c r="C22" s="55">
        <x:v>0.333333333333333</x:v>
      </x:c>
      <x:c r="D22" s="55">
        <x:v>0.791666666666667</x:v>
      </x:c>
      <x:c r="E22" s="55">
        <x:v>0.0833333333333333</x:v>
      </x:c>
      <x:c r="F22" s="56">
        <x:f t="shared" si="2"/>
        <x:v>0.375</x:v>
      </x:c>
      <x:c r="G22" s="57">
        <x:v>0.375</x:v>
      </x:c>
      <x:c r="H22" s="54" t="s">
        <x:v>20</x:v>
      </x:c>
      <x:c r="I22" s="54" t="s">
        <x:v>22</x:v>
      </x:c>
      <x:c r="J22" s="55"/>
      <x:c r="K22" s="69"/>
    </x:row>
    <x:row r="23" s="48" customFormat="1">
      <x:c r="A23" s="53">
        <x:f t="shared" si="1"/>
        <x:v>46156</x:v>
      </x:c>
      <x:c r="B23" s="54" t="str">
        <x:f t="shared" si="0"/>
        <x:v>Thu</x:v>
      </x:c>
      <x:c r="C23" s="55">
        <x:v>0.333333333333333</x:v>
      </x:c>
      <x:c r="D23" s="55">
        <x:v>0.708333333333333</x:v>
      </x:c>
      <x:c r="E23" s="55">
        <x:v>0.0416666666666667</x:v>
      </x:c>
      <x:c r="F23" s="56" t="n">
        <x:f t="shared" ref="F23:F24" si="3">D23-C23-E23</x:f>
        <x:v>0.33333333333333337</x:v>
      </x:c>
      <x:c r="G23" s="57">
        <x:v>0.333333333333333</x:v>
      </x:c>
      <x:c r="H23" s="54" t="s">
        <x:v>20</x:v>
      </x:c>
      <x:c r="I23" s="54" t="s">
        <x:v>22</x:v>
      </x:c>
      <x:c r="J23" s="55"/>
      <x:c r="K23" s="69"/>
    </x:row>
    <x:row r="24" s="48" customFormat="1">
      <x:c r="A24" s="53">
        <x:f t="shared" si="1"/>
        <x:v>46157</x:v>
      </x:c>
      <x:c r="B24" s="54" t="str">
        <x:f t="shared" si="0"/>
        <x:v>Fri</x:v>
      </x:c>
      <x:c r="C24" s="55">
        <x:v>0.333333333333333</x:v>
      </x:c>
      <x:c r="D24" s="55">
        <x:v>0.791666666666667</x:v>
      </x:c>
      <x:c r="E24" s="55">
        <x:v>0.0833333333333333</x:v>
      </x:c>
      <x:c r="F24" s="56">
        <x:f t="shared" si="3"/>
        <x:v>0.375</x:v>
      </x:c>
      <x:c r="G24" s="57">
        <x:v>0.375</x:v>
      </x:c>
      <x:c r="H24" s="54" t="s">
        <x:v>23</x:v>
      </x:c>
      <x:c r="I24" s="54" t="s">
        <x:v>24</x:v>
      </x:c>
      <x:c r="J24" s="55"/>
      <x:c r="K24" s="69"/>
    </x:row>
    <x:row r="25" s="48" customFormat="1">
      <x:c r="A25" s="74">
        <x:f t="shared" si="1"/>
        <x:v>46158</x:v>
      </x:c>
      <x:c r="B25" s="43" t="str">
        <x:f t="shared" si="0"/>
        <x:v>Sat</x:v>
      </x:c>
      <x:c r="C25" s="41"/>
      <x:c r="D25" s="41"/>
      <x:c r="E25" s="41"/>
      <x:c r="F25" s="41"/>
      <x:c r="G25" s="75"/>
      <x:c r="H25" s="43"/>
      <x:c r="I25" s="41"/>
      <x:c r="J25" s="41"/>
      <x:c r="K25" s="78"/>
    </x:row>
    <x:row r="26" s="48" customFormat="1">
      <x:c r="A26" s="74">
        <x:f t="shared" si="1"/>
        <x:v>46159</x:v>
      </x:c>
      <x:c r="B26" s="43" t="str">
        <x:f t="shared" si="0"/>
        <x:v>Sun</x:v>
      </x:c>
      <x:c r="C26" s="41"/>
      <x:c r="D26" s="41"/>
      <x:c r="E26" s="41"/>
      <x:c r="F26" s="41"/>
      <x:c r="G26" s="75"/>
      <x:c r="H26" s="43"/>
      <x:c r="I26" s="41"/>
      <x:c r="J26" s="41"/>
      <x:c r="K26" s="78"/>
    </x:row>
    <x:row r="27" s="48" customFormat="1">
      <x:c r="A27" s="53">
        <x:f t="shared" si="1"/>
        <x:v>46160</x:v>
      </x:c>
      <x:c r="B27" s="54" t="str">
        <x:f t="shared" si="0"/>
        <x:v>Mon</x:v>
      </x:c>
      <x:c r="C27" s="55">
        <x:v>0.333333333333333</x:v>
      </x:c>
      <x:c r="D27" s="55">
        <x:v>0.791666666666667</x:v>
      </x:c>
      <x:c r="E27" s="55">
        <x:v>0.0833333333333333</x:v>
      </x:c>
      <x:c r="F27" s="56" t="n">
        <x:f t="shared" ref="F27:F31" si="4">D27-C27-E27</x:f>
        <x:v>0.37500000000000067</x:v>
      </x:c>
      <x:c r="G27" s="57">
        <x:v>0.375</x:v>
      </x:c>
      <x:c r="H27" s="54" t="s">
        <x:v>23</x:v>
      </x:c>
      <x:c r="I27" s="54" t="s">
        <x:v>24</x:v>
      </x:c>
      <x:c r="J27" s="55"/>
      <x:c r="K27" s="54"/>
    </x:row>
    <x:row r="28" s="48" customFormat="1">
      <x:c r="A28" s="53">
        <x:f t="shared" si="1"/>
        <x:v>46161</x:v>
      </x:c>
      <x:c r="B28" s="54" t="str">
        <x:f t="shared" si="0"/>
        <x:v>Tue</x:v>
      </x:c>
      <x:c r="C28" s="55">
        <x:v>0.333333333333333</x:v>
      </x:c>
      <x:c r="D28" s="55">
        <x:v>0.875</x:v>
      </x:c>
      <x:c r="E28" s="55">
        <x:v>0.0833333333333333</x:v>
      </x:c>
      <x:c r="F28" s="56">
        <x:f t="shared" si="4"/>
        <x:v>0.458333333333333</x:v>
      </x:c>
      <x:c r="G28" s="57">
        <x:v>0.458333333333333</x:v>
      </x:c>
      <x:c r="H28" s="54" t="s">
        <x:v>23</x:v>
      </x:c>
      <x:c r="I28" s="54" t="s">
        <x:v>24</x:v>
      </x:c>
      <x:c r="J28" s="55"/>
      <x:c r="K28" s="54"/>
    </x:row>
    <x:row r="29" s="48" customFormat="1">
      <x:c r="A29" s="53">
        <x:f t="shared" si="1"/>
        <x:v>46162</x:v>
      </x:c>
      <x:c r="B29" s="54" t="str">
        <x:f t="shared" si="0"/>
        <x:v>Wed</x:v>
      </x:c>
      <x:c r="C29" s="55">
        <x:v>0.333333333333333</x:v>
      </x:c>
      <x:c r="D29" s="55">
        <x:v>0.708333333333333</x:v>
      </x:c>
      <x:c r="E29" s="55">
        <x:v>0.0416666666666667</x:v>
      </x:c>
      <x:c r="F29" s="56">
        <x:f t="shared" si="4"/>
        <x:v>0.333333333333333</x:v>
      </x:c>
      <x:c r="G29" s="57">
        <x:v>0.333333333333333</x:v>
      </x:c>
      <x:c r="H29" s="54" t="s">
        <x:v>23</x:v>
      </x:c>
      <x:c r="I29" s="54" t="s">
        <x:v>24</x:v>
      </x:c>
      <x:c r="J29" s="55"/>
      <x:c r="K29" s="69"/>
    </x:row>
    <x:row r="30" s="48" customFormat="1">
      <x:c r="A30" s="53">
        <x:f t="shared" si="1"/>
        <x:v>46163</x:v>
      </x:c>
      <x:c r="B30" s="54" t="str">
        <x:f t="shared" si="0"/>
        <x:v>Thu</x:v>
      </x:c>
      <x:c r="C30" s="55">
        <x:v>0.333333333333333</x:v>
      </x:c>
      <x:c r="D30" s="55">
        <x:v>0.708333333333333</x:v>
      </x:c>
      <x:c r="E30" s="55">
        <x:v>0.0416666666666667</x:v>
      </x:c>
      <x:c r="F30" s="56">
        <x:f t="shared" si="4"/>
        <x:v>0.333333333333333</x:v>
      </x:c>
      <x:c r="G30" s="57">
        <x:v>0.333333333333333</x:v>
      </x:c>
      <x:c r="H30" s="54" t="s">
        <x:v>20</x:v>
      </x:c>
      <x:c r="I30" s="54" t="s">
        <x:v>22</x:v>
      </x:c>
      <x:c r="J30" s="55"/>
      <x:c r="K30" s="69"/>
    </x:row>
    <x:row r="31" s="48" customFormat="1">
      <x:c r="A31" s="53">
        <x:f t="shared" si="1"/>
        <x:v>46164</x:v>
      </x:c>
      <x:c r="B31" s="54" t="str">
        <x:f t="shared" si="0"/>
        <x:v>Fri</x:v>
      </x:c>
      <x:c r="C31" s="55">
        <x:v>0.333333333333333</x:v>
      </x:c>
      <x:c r="D31" s="55">
        <x:v>0.708333333333333</x:v>
      </x:c>
      <x:c r="E31" s="55">
        <x:v>0.0416666666666667</x:v>
      </x:c>
      <x:c r="F31" s="56">
        <x:f t="shared" si="4"/>
        <x:v>0.333333333333333</x:v>
      </x:c>
      <x:c r="G31" s="57">
        <x:v>0.333333333333333</x:v>
      </x:c>
      <x:c r="H31" s="54"/>
      <x:c r="I31" s="54"/>
      <x:c r="J31" s="55"/>
      <x:c r="K31" s="69"/>
    </x:row>
    <x:row r="32" s="48" customFormat="1">
      <x:c r="A32" s="74">
        <x:f t="shared" si="1"/>
        <x:v>46165</x:v>
      </x:c>
      <x:c r="B32" s="43" t="str">
        <x:f t="shared" si="0"/>
        <x:v>Sat</x:v>
      </x:c>
      <x:c r="C32" s="41"/>
      <x:c r="D32" s="41"/>
      <x:c r="E32" s="41"/>
      <x:c r="F32" s="41"/>
      <x:c r="G32" s="75"/>
      <x:c r="H32" s="43"/>
      <x:c r="I32" s="43"/>
      <x:c r="J32" s="41"/>
      <x:c r="K32" s="78"/>
    </x:row>
    <x:row r="33" s="48" customFormat="1">
      <x:c r="A33" s="74">
        <x:f t="shared" si="1"/>
        <x:v>46166</x:v>
      </x:c>
      <x:c r="B33" s="43" t="str">
        <x:f t="shared" si="0"/>
        <x:v>Sun</x:v>
      </x:c>
      <x:c r="C33" s="41"/>
      <x:c r="D33" s="41"/>
      <x:c r="E33" s="41"/>
      <x:c r="F33" s="41"/>
      <x:c r="G33" s="75"/>
      <x:c r="H33" s="43"/>
      <x:c r="I33" s="43"/>
      <x:c r="J33" s="41"/>
      <x:c r="K33" s="78"/>
    </x:row>
    <x:row r="34" s="48" customFormat="1">
      <x:c r="A34" s="53">
        <x:f t="shared" si="1"/>
        <x:v>46167</x:v>
      </x:c>
      <x:c r="B34" s="54" t="str">
        <x:f t="shared" si="0"/>
        <x:v>Mon</x:v>
      </x:c>
      <x:c r="C34" s="55">
        <x:v>0.333333333333333</x:v>
      </x:c>
      <x:c r="D34" s="55">
        <x:v>0.708333333333333</x:v>
      </x:c>
      <x:c r="E34" s="55">
        <x:v>0.0416666666666667</x:v>
      </x:c>
      <x:c r="F34" s="56" t="n">
        <x:f t="shared" ref="F34:F37" si="5">D34-C34-E34</x:f>
        <x:v>0.33333333333333337</x:v>
      </x:c>
      <x:c r="G34" s="57">
        <x:v>0.333333333333333</x:v>
      </x:c>
      <x:c r="H34" s="54" t="s">
        <x:v>23</x:v>
      </x:c>
      <x:c r="I34" s="54" t="s">
        <x:v>24</x:v>
      </x:c>
      <x:c r="J34" s="55"/>
      <x:c r="K34" s="54"/>
    </x:row>
    <x:row r="35" s="48" customFormat="1">
      <x:c r="A35" s="53">
        <x:f t="shared" si="1"/>
        <x:v>46168</x:v>
      </x:c>
      <x:c r="B35" s="54" t="str">
        <x:f t="shared" si="0"/>
        <x:v>Tue</x:v>
      </x:c>
      <x:c r="C35" s="55">
        <x:v>0.333333333333333</x:v>
      </x:c>
      <x:c r="D35" s="55">
        <x:v>0.708333333333333</x:v>
      </x:c>
      <x:c r="E35" s="55">
        <x:v>0.0416666666666667</x:v>
      </x:c>
      <x:c r="F35" s="56">
        <x:f t="shared" si="5"/>
        <x:v>0.333333333333333</x:v>
      </x:c>
      <x:c r="G35" s="57">
        <x:v>0.333333333333333</x:v>
      </x:c>
      <x:c r="H35" s="54" t="s">
        <x:v>20</x:v>
      </x:c>
      <x:c r="I35" s="54" t="s">
        <x:v>22</x:v>
      </x:c>
      <x:c r="J35" s="55"/>
      <x:c r="K35" s="54"/>
    </x:row>
    <x:row r="36" s="48" customFormat="1">
      <x:c r="A36" s="53">
        <x:f t="shared" si="1"/>
        <x:v>46169</x:v>
      </x:c>
      <x:c r="B36" s="54" t="str">
        <x:f t="shared" si="0"/>
        <x:v>Wed</x:v>
      </x:c>
      <x:c r="C36" s="55">
        <x:v>0.333333333333333</x:v>
      </x:c>
      <x:c r="D36" s="55">
        <x:v>0.708333333333333</x:v>
      </x:c>
      <x:c r="E36" s="55">
        <x:v>0.0416666666666667</x:v>
      </x:c>
      <x:c r="F36" s="56">
        <x:f t="shared" si="5"/>
        <x:v>0.333333333333333</x:v>
      </x:c>
      <x:c r="G36" s="57">
        <x:v>0.333333333333333</x:v>
      </x:c>
      <x:c r="H36" s="54" t="s">
        <x:v>20</x:v>
      </x:c>
      <x:c r="I36" s="54" t="s">
        <x:v>22</x:v>
      </x:c>
      <x:c r="J36" s="55"/>
      <x:c r="K36" s="69"/>
    </x:row>
    <x:row r="37" s="48" customFormat="1">
      <x:c r="A37" s="53">
        <x:f t="shared" si="1"/>
        <x:v>46170</x:v>
      </x:c>
      <x:c r="B37" s="54" t="str">
        <x:f t="shared" si="0"/>
        <x:v>Thu</x:v>
      </x:c>
      <x:c r="C37" s="55">
        <x:v>0.333333333333333</x:v>
      </x:c>
      <x:c r="D37" s="55">
        <x:v>0.708333333333333</x:v>
      </x:c>
      <x:c r="E37" s="55">
        <x:v>0.0416666666666667</x:v>
      </x:c>
      <x:c r="F37" s="56">
        <x:f t="shared" si="5"/>
        <x:v>0.333333333333333</x:v>
      </x:c>
      <x:c r="G37" s="57">
        <x:v>0.333333333333333</x:v>
      </x:c>
      <x:c r="H37" s="54" t="s">
        <x:v>20</x:v>
      </x:c>
      <x:c r="I37" s="54" t="s">
        <x:v>22</x:v>
      </x:c>
      <x:c r="J37" s="55"/>
      <x:c r="K37" s="69"/>
    </x:row>
    <x:row r="38" s="48" customFormat="1">
      <x:c r="A38" s="77">
        <x:f t="shared" si="1"/>
        <x:v>46171</x:v>
      </x:c>
      <x:c r="B38" s="42" t="str">
        <x:f t="shared" si="0"/>
        <x:v>Fri</x:v>
      </x:c>
      <x:c r="C38" s="55">
        <x:v>0.333333333333333</x:v>
      </x:c>
      <x:c r="D38" s="55">
        <x:v>0.708333333333333</x:v>
      </x:c>
      <x:c r="E38" s="55">
        <x:v>0.0416666666666667</x:v>
      </x:c>
      <x:c r="F38" s="56" t="n">
        <x:f t="shared" ref="F38" si="6">D38-C38-E38</x:f>
        <x:v>0.33333333333333337</x:v>
      </x:c>
      <x:c r="G38" s="57">
        <x:v>0.333333333333333</x:v>
      </x:c>
      <x:c r="H38" s="54" t="s">
        <x:v>20</x:v>
      </x:c>
      <x:c r="I38" s="54" t="s">
        <x:v>22</x:v>
      </x:c>
      <x:c r="J38" s="37"/>
      <x:c r="K38" s="79"/>
    </x:row>
    <x:row r="39" s="48" customFormat="1">
      <x:c r="A39" s="74">
        <x:f t="shared" si="1"/>
        <x:v>46172</x:v>
      </x:c>
      <x:c r="B39" s="43" t="str">
        <x:f t="shared" si="0"/>
        <x:v>Sat</x:v>
      </x:c>
      <x:c r="C39" s="41"/>
      <x:c r="D39" s="41"/>
      <x:c r="E39" s="41"/>
      <x:c r="F39" s="41"/>
      <x:c r="G39" s="75"/>
      <x:c r="H39" s="43"/>
      <x:c r="I39" s="41"/>
      <x:c r="J39" s="41"/>
      <x:c r="K39" s="78"/>
    </x:row>
    <x:row r="40">
      <x:c r="A40" s="74">
        <x:f t="shared" si="1"/>
        <x:v>46173</x:v>
      </x:c>
      <x:c r="B40" s="43" t="str">
        <x:f t="shared" si="0"/>
        <x:v>Sun</x:v>
      </x:c>
      <x:c r="C40" s="41"/>
      <x:c r="D40" s="41"/>
      <x:c r="E40" s="41"/>
      <x:c r="F40" s="41"/>
      <x:c r="G40" s="75"/>
      <x:c r="H40" s="43"/>
      <x:c r="I40" s="41"/>
      <x:c r="J40" s="41"/>
      <x:c r="K40" s="78"/>
    </x:row>
  </x:sheetData>
  <x:conditionalFormatting sqref="D10:E10">
    <x:cfRule type="timePeriod" dxfId="1" priority="204" timePeriod="lastMonth">
      <x:formula>AND(MONTH(D10)=MONTH(EDATE(TODAY(),0-1)),YEAR(D10)=YEAR(EDATE(TODAY(),0-1)))</x:formula>
    </x:cfRule>
    <x:cfRule type="expression" dxfId="3" priority="205">
      <x:formula>$B10="土"</x:formula>
    </x:cfRule>
    <x:cfRule type="expression" dxfId="3" priority="206">
      <x:formula>$B10="日"</x:formula>
    </x:cfRule>
  </x:conditionalFormatting>
  <x:conditionalFormatting sqref="F10:F10">
    <x:cfRule type="timePeriod" dxfId="1" priority="195" timePeriod="lastMonth">
      <x:formula>AND(MONTH(F10)=MONTH(EDATE(TODAY(),0-1)),YEAR(F10)=YEAR(EDATE(TODAY(),0-1)))</x:formula>
    </x:cfRule>
    <x:cfRule type="expression" dxfId="3" priority="196">
      <x:formula>$B10="土"</x:formula>
    </x:cfRule>
    <x:cfRule type="expression" dxfId="3" priority="197">
      <x:formula>$B10="日"</x:formula>
    </x:cfRule>
  </x:conditionalFormatting>
  <x:conditionalFormatting sqref="G10:G10">
    <x:cfRule type="expression" dxfId="3" priority="192">
      <x:formula>$B10="土"</x:formula>
    </x:cfRule>
    <x:cfRule type="expression" dxfId="3" priority="193">
      <x:formula>$B10="日"</x:formula>
    </x:cfRule>
    <x:cfRule type="timePeriod" dxfId="1" priority="194" timePeriod="lastMonth">
      <x:formula>AND(MONTH(G10)=MONTH(EDATE(TODAY(),0-1)),YEAR(G10)=YEAR(EDATE(TODAY(),0-1)))</x:formula>
    </x:cfRule>
  </x:conditionalFormatting>
  <x:conditionalFormatting sqref="I10:I10">
    <x:cfRule type="expression" dxfId="3" priority="201">
      <x:formula>$B10="土"</x:formula>
    </x:cfRule>
    <x:cfRule type="expression" dxfId="3" priority="202">
      <x:formula>$B10="日"</x:formula>
    </x:cfRule>
    <x:cfRule type="timePeriod" dxfId="1" priority="203" timePeriod="lastMonth">
      <x:formula>AND(MONTH(I10)=MONTH(EDATE(TODAY(),0-1)),YEAR(I10)=YEAR(EDATE(TODAY(),0-1)))</x:formula>
    </x:cfRule>
  </x:conditionalFormatting>
  <x:conditionalFormatting sqref="J10:J10">
    <x:cfRule type="timePeriod" dxfId="1" priority="200" timePeriod="lastMonth">
      <x:formula>AND(MONTH(J10)=MONTH(EDATE(TODAY(),0-1)),YEAR(J10)=YEAR(EDATE(TODAY(),0-1)))</x:formula>
    </x:cfRule>
  </x:conditionalFormatting>
  <x:conditionalFormatting sqref="K10:K10">
    <x:cfRule type="timePeriod" dxfId="1" priority="190" timePeriod="lastMonth">
      <x:formula>AND(MONTH(K10)=MONTH(EDATE(TODAY(),0-1)),YEAR(K10)=YEAR(EDATE(TODAY(),0-1)))</x:formula>
    </x:cfRule>
    <x:cfRule type="expression" dxfId="3" priority="191">
      <x:formula>WEEKDAY(K$10)=L$4</x:formula>
    </x:cfRule>
  </x:conditionalFormatting>
  <x:conditionalFormatting sqref="G11:G11">
    <x:cfRule type="expression" dxfId="3" priority="380">
      <x:formula>$B11="土"</x:formula>
    </x:cfRule>
    <x:cfRule type="expression" dxfId="3" priority="381">
      <x:formula>$B11="日"</x:formula>
    </x:cfRule>
    <x:cfRule type="timePeriod" dxfId="1" priority="382" timePeriod="lastMonth">
      <x:formula>AND(MONTH(G11)=MONTH(EDATE(TODAY(),0-1)),YEAR(G11)=YEAR(EDATE(TODAY(),0-1)))</x:formula>
    </x:cfRule>
  </x:conditionalFormatting>
  <x:conditionalFormatting sqref="I11:I11">
    <x:cfRule type="expression" dxfId="3" priority="175">
      <x:formula>$B11="土"</x:formula>
    </x:cfRule>
    <x:cfRule type="expression" dxfId="3" priority="176">
      <x:formula>$B11="日"</x:formula>
    </x:cfRule>
    <x:cfRule type="timePeriod" dxfId="1" priority="177" timePeriod="lastMonth">
      <x:formula>AND(MONTH(I11)=MONTH(EDATE(TODAY(),0-1)),YEAR(I11)=YEAR(EDATE(TODAY(),0-1)))</x:formula>
    </x:cfRule>
  </x:conditionalFormatting>
  <x:conditionalFormatting sqref="J11:J11">
    <x:cfRule type="timePeriod" dxfId="1" priority="391" timePeriod="lastMonth">
      <x:formula>AND(MONTH(J11)=MONTH(EDATE(TODAY(),0-1)),YEAR(J11)=YEAR(EDATE(TODAY(),0-1)))</x:formula>
    </x:cfRule>
  </x:conditionalFormatting>
  <x:conditionalFormatting sqref="C12:C12">
    <x:cfRule type="expression" dxfId="3" priority="311">
      <x:formula>$B12="土"</x:formula>
    </x:cfRule>
    <x:cfRule type="expression" dxfId="3" priority="312">
      <x:formula>$B12="日"</x:formula>
    </x:cfRule>
  </x:conditionalFormatting>
  <x:conditionalFormatting sqref="G12:G12">
    <x:cfRule type="expression" dxfId="3" priority="306">
      <x:formula>$B12="土"</x:formula>
    </x:cfRule>
    <x:cfRule type="expression" dxfId="3" priority="307">
      <x:formula>$B12="日"</x:formula>
    </x:cfRule>
    <x:cfRule type="timePeriod" dxfId="1" priority="308" timePeriod="lastMonth">
      <x:formula>AND(MONTH(G12)=MONTH(EDATE(TODAY(),0-1)),YEAR(G12)=YEAR(EDATE(TODAY(),0-1)))</x:formula>
    </x:cfRule>
  </x:conditionalFormatting>
  <x:conditionalFormatting sqref="I12:I12">
    <x:cfRule type="expression" dxfId="3" priority="172">
      <x:formula>$B12="土"</x:formula>
    </x:cfRule>
    <x:cfRule type="expression" dxfId="3" priority="173">
      <x:formula>$B12="日"</x:formula>
    </x:cfRule>
    <x:cfRule type="timePeriod" dxfId="1" priority="174" timePeriod="lastMonth">
      <x:formula>AND(MONTH(I12)=MONTH(EDATE(TODAY(),0-1)),YEAR(I12)=YEAR(EDATE(TODAY(),0-1)))</x:formula>
    </x:cfRule>
  </x:conditionalFormatting>
  <x:conditionalFormatting sqref="C13:C13">
    <x:cfRule type="expression" dxfId="3" priority="309">
      <x:formula>$B13="土"</x:formula>
    </x:cfRule>
    <x:cfRule type="expression" dxfId="3" priority="310">
      <x:formula>$B13="日"</x:formula>
    </x:cfRule>
  </x:conditionalFormatting>
  <x:conditionalFormatting sqref="G13:G13">
    <x:cfRule type="expression" dxfId="3" priority="303">
      <x:formula>$B13="土"</x:formula>
    </x:cfRule>
    <x:cfRule type="expression" dxfId="3" priority="304">
      <x:formula>$B13="日"</x:formula>
    </x:cfRule>
    <x:cfRule type="timePeriod" dxfId="1" priority="305" timePeriod="lastMonth">
      <x:formula>AND(MONTH(G13)=MONTH(EDATE(TODAY(),0-1)),YEAR(G13)=YEAR(EDATE(TODAY(),0-1)))</x:formula>
    </x:cfRule>
  </x:conditionalFormatting>
  <x:conditionalFormatting sqref="H13:H13">
    <x:cfRule type="expression" dxfId="3" priority="219">
      <x:formula>$B13="土"</x:formula>
    </x:cfRule>
    <x:cfRule type="expression" dxfId="3" priority="220">
      <x:formula>$B13="日"</x:formula>
    </x:cfRule>
    <x:cfRule type="timePeriod" dxfId="1" priority="221" timePeriod="lastMonth">
      <x:formula>AND(MONTH(H13)=MONTH(EDATE(TODAY(),0-1)),YEAR(H13)=YEAR(EDATE(TODAY(),0-1)))</x:formula>
    </x:cfRule>
  </x:conditionalFormatting>
  <x:conditionalFormatting sqref="I13:I13">
    <x:cfRule type="expression" dxfId="3" priority="268">
      <x:formula>$B13="土"</x:formula>
    </x:cfRule>
    <x:cfRule type="expression" dxfId="3" priority="269">
      <x:formula>$B13="日"</x:formula>
    </x:cfRule>
    <x:cfRule type="timePeriod" dxfId="1" priority="270" timePeriod="lastMonth">
      <x:formula>AND(MONTH(I13)=MONTH(EDATE(TODAY(),0-1)),YEAR(I13)=YEAR(EDATE(TODAY(),0-1)))</x:formula>
    </x:cfRule>
  </x:conditionalFormatting>
  <x:conditionalFormatting sqref="G14:G14">
    <x:cfRule type="expression" dxfId="3" priority="335">
      <x:formula>$B14="土"</x:formula>
    </x:cfRule>
    <x:cfRule type="expression" dxfId="3" priority="336">
      <x:formula>$B14="日"</x:formula>
    </x:cfRule>
    <x:cfRule type="timePeriod" dxfId="1" priority="337" timePeriod="lastMonth">
      <x:formula>AND(MONTH(G14)=MONTH(EDATE(TODAY(),0-1)),YEAR(G14)=YEAR(EDATE(TODAY(),0-1)))</x:formula>
    </x:cfRule>
  </x:conditionalFormatting>
  <x:conditionalFormatting sqref="G15:G15">
    <x:cfRule type="expression" dxfId="3" priority="332">
      <x:formula>$B15="土"</x:formula>
    </x:cfRule>
    <x:cfRule type="expression" dxfId="3" priority="333">
      <x:formula>$B15="日"</x:formula>
    </x:cfRule>
    <x:cfRule type="timePeriod" dxfId="1" priority="334" timePeriod="lastMonth">
      <x:formula>AND(MONTH(G15)=MONTH(EDATE(TODAY(),0-1)),YEAR(G15)=YEAR(EDATE(TODAY(),0-1)))</x:formula>
    </x:cfRule>
  </x:conditionalFormatting>
  <x:conditionalFormatting sqref="I15:I15">
    <x:cfRule type="expression" dxfId="3" priority="169">
      <x:formula>$B15="土"</x:formula>
    </x:cfRule>
    <x:cfRule type="expression" dxfId="3" priority="170">
      <x:formula>$B15="日"</x:formula>
    </x:cfRule>
    <x:cfRule type="timePeriod" dxfId="1" priority="171" timePeriod="lastMonth">
      <x:formula>AND(MONTH(I15)=MONTH(EDATE(TODAY(),0-1)),YEAR(I15)=YEAR(EDATE(TODAY(),0-1)))</x:formula>
    </x:cfRule>
  </x:conditionalFormatting>
  <x:conditionalFormatting sqref="J15:J15">
    <x:cfRule type="expression" dxfId="3" priority="295">
      <x:formula>$B15="土"</x:formula>
    </x:cfRule>
    <x:cfRule type="expression" dxfId="3" priority="296">
      <x:formula>$B15="日"</x:formula>
    </x:cfRule>
    <x:cfRule type="timePeriod" dxfId="1" priority="297" timePeriod="lastMonth">
      <x:formula>AND(MONTH(J15)=MONTH(EDATE(TODAY(),0-1)),YEAR(J15)=YEAR(EDATE(TODAY(),0-1)))</x:formula>
    </x:cfRule>
  </x:conditionalFormatting>
  <x:conditionalFormatting sqref="K15:K15">
    <x:cfRule type="timePeriod" dxfId="1" priority="293" timePeriod="lastMonth">
      <x:formula>AND(MONTH(K15)=MONTH(EDATE(TODAY(),0-1)),YEAR(K15)=YEAR(EDATE(TODAY(),0-1)))</x:formula>
    </x:cfRule>
    <x:cfRule type="expression" dxfId="3" priority="294">
      <x:formula>WEEKDAY(K$10)=L$4</x:formula>
    </x:cfRule>
  </x:conditionalFormatting>
  <x:conditionalFormatting sqref="C16:F16">
    <x:cfRule type="timePeriod" dxfId="1" priority="181" timePeriod="lastMonth">
      <x:formula>AND(MONTH(C16)=MONTH(EDATE(TODAY(),0-1)),YEAR(C16)=YEAR(EDATE(TODAY(),0-1)))</x:formula>
    </x:cfRule>
    <x:cfRule type="expression" dxfId="3" priority="182">
      <x:formula>$B16="土"</x:formula>
    </x:cfRule>
    <x:cfRule type="expression" dxfId="3" priority="183">
      <x:formula>$B16="日"</x:formula>
    </x:cfRule>
  </x:conditionalFormatting>
  <x:conditionalFormatting sqref="G16:G16">
    <x:cfRule type="expression" dxfId="3" priority="178">
      <x:formula>$B16="土"</x:formula>
    </x:cfRule>
    <x:cfRule type="expression" dxfId="3" priority="179">
      <x:formula>$B16="日"</x:formula>
    </x:cfRule>
    <x:cfRule type="timePeriod" dxfId="1" priority="180" timePeriod="lastMonth">
      <x:formula>AND(MONTH(G16)=MONTH(EDATE(TODAY(),0-1)),YEAR(G16)=YEAR(EDATE(TODAY(),0-1)))</x:formula>
    </x:cfRule>
  </x:conditionalFormatting>
  <x:conditionalFormatting sqref="I16:I16">
    <x:cfRule type="expression" dxfId="3" priority="166">
      <x:formula>$B16="土"</x:formula>
    </x:cfRule>
    <x:cfRule type="expression" dxfId="3" priority="167">
      <x:formula>$B16="日"</x:formula>
    </x:cfRule>
    <x:cfRule type="timePeriod" dxfId="1" priority="168" timePeriod="lastMonth">
      <x:formula>AND(MONTH(I16)=MONTH(EDATE(TODAY(),0-1)),YEAR(I16)=YEAR(EDATE(TODAY(),0-1)))</x:formula>
    </x:cfRule>
  </x:conditionalFormatting>
  <x:conditionalFormatting sqref="K16:K16">
    <x:cfRule type="timePeriod" dxfId="1" priority="330" timePeriod="lastMonth">
      <x:formula>AND(MONTH(K16)=MONTH(EDATE(TODAY(),0-1)),YEAR(K16)=YEAR(EDATE(TODAY(),0-1)))</x:formula>
    </x:cfRule>
    <x:cfRule type="expression" dxfId="3" priority="331">
      <x:formula>WEEKDAY(K$10)=L$4</x:formula>
    </x:cfRule>
  </x:conditionalFormatting>
  <x:conditionalFormatting sqref="G17:G17">
    <x:cfRule type="expression" dxfId="3" priority="184">
      <x:formula>$B17="土"</x:formula>
    </x:cfRule>
    <x:cfRule type="expression" dxfId="3" priority="185">
      <x:formula>$B17="日"</x:formula>
    </x:cfRule>
    <x:cfRule type="timePeriod" dxfId="1" priority="186" timePeriod="lastMonth">
      <x:formula>AND(MONTH(G17)=MONTH(EDATE(TODAY(),0-1)),YEAR(G17)=YEAR(EDATE(TODAY(),0-1)))</x:formula>
    </x:cfRule>
  </x:conditionalFormatting>
  <x:conditionalFormatting sqref="K17:K17">
    <x:cfRule type="timePeriod" dxfId="1" priority="376" timePeriod="lastMonth">
      <x:formula>AND(MONTH(K17)=MONTH(EDATE(TODAY(),0-1)),YEAR(K17)=YEAR(EDATE(TODAY(),0-1)))</x:formula>
    </x:cfRule>
    <x:cfRule type="expression" dxfId="3" priority="377">
      <x:formula>WEEKDAY(K$10)=L$4</x:formula>
    </x:cfRule>
  </x:conditionalFormatting>
  <x:conditionalFormatting sqref="H18:H18">
    <x:cfRule type="expression" dxfId="3" priority="157">
      <x:formula>$B18="土"</x:formula>
    </x:cfRule>
    <x:cfRule type="expression" dxfId="3" priority="158">
      <x:formula>$B18="日"</x:formula>
    </x:cfRule>
    <x:cfRule type="timePeriod" dxfId="1" priority="159" timePeriod="lastMonth">
      <x:formula>AND(MONTH(H18)=MONTH(EDATE(TODAY(),0-1)),YEAR(H18)=YEAR(EDATE(TODAY(),0-1)))</x:formula>
    </x:cfRule>
  </x:conditionalFormatting>
  <x:conditionalFormatting sqref="I18:I18">
    <x:cfRule type="expression" dxfId="3" priority="160">
      <x:formula>$B18="土"</x:formula>
    </x:cfRule>
    <x:cfRule type="expression" dxfId="3" priority="161">
      <x:formula>$B18="日"</x:formula>
    </x:cfRule>
    <x:cfRule type="timePeriod" dxfId="1" priority="162" timePeriod="lastMonth">
      <x:formula>AND(MONTH(I18)=MONTH(EDATE(TODAY(),0-1)),YEAR(I18)=YEAR(EDATE(TODAY(),0-1)))</x:formula>
    </x:cfRule>
  </x:conditionalFormatting>
  <x:conditionalFormatting sqref="I19:I19">
    <x:cfRule type="expression" dxfId="3" priority="163">
      <x:formula>$B19="土"</x:formula>
    </x:cfRule>
    <x:cfRule type="expression" dxfId="3" priority="164">
      <x:formula>$B19="日"</x:formula>
    </x:cfRule>
    <x:cfRule type="timePeriod" dxfId="1" priority="165" timePeriod="lastMonth">
      <x:formula>AND(MONTH(I19)=MONTH(EDATE(TODAY(),0-1)),YEAR(I19)=YEAR(EDATE(TODAY(),0-1)))</x:formula>
    </x:cfRule>
  </x:conditionalFormatting>
  <x:conditionalFormatting sqref="H20:H20">
    <x:cfRule type="expression" dxfId="3" priority="118">
      <x:formula>$B20="土"</x:formula>
    </x:cfRule>
    <x:cfRule type="expression" dxfId="3" priority="119">
      <x:formula>$B20="日"</x:formula>
    </x:cfRule>
    <x:cfRule type="timePeriod" dxfId="1" priority="120" timePeriod="lastMonth">
      <x:formula>AND(MONTH(H20)=MONTH(EDATE(TODAY(),0-1)),YEAR(H20)=YEAR(EDATE(TODAY(),0-1)))</x:formula>
    </x:cfRule>
  </x:conditionalFormatting>
  <x:conditionalFormatting sqref="I20:I20">
    <x:cfRule type="expression" dxfId="3" priority="121">
      <x:formula>$B20="土"</x:formula>
    </x:cfRule>
    <x:cfRule type="expression" dxfId="3" priority="122">
      <x:formula>$B20="日"</x:formula>
    </x:cfRule>
    <x:cfRule type="timePeriod" dxfId="1" priority="123" timePeriod="lastMonth">
      <x:formula>AND(MONTH(I20)=MONTH(EDATE(TODAY(),0-1)),YEAR(I20)=YEAR(EDATE(TODAY(),0-1)))</x:formula>
    </x:cfRule>
  </x:conditionalFormatting>
  <x:conditionalFormatting sqref="C21:F21">
    <x:cfRule type="timePeriod" dxfId="1" priority="115" timePeriod="lastMonth">
      <x:formula>AND(MONTH(C21)=MONTH(EDATE(TODAY(),0-1)),YEAR(C21)=YEAR(EDATE(TODAY(),0-1)))</x:formula>
    </x:cfRule>
    <x:cfRule type="expression" dxfId="3" priority="116">
      <x:formula>$B21="土"</x:formula>
    </x:cfRule>
    <x:cfRule type="expression" dxfId="3" priority="117">
      <x:formula>$B21="日"</x:formula>
    </x:cfRule>
  </x:conditionalFormatting>
  <x:conditionalFormatting sqref="G21:G21">
    <x:cfRule type="expression" dxfId="3" priority="112">
      <x:formula>$B21="土"</x:formula>
    </x:cfRule>
    <x:cfRule type="expression" dxfId="3" priority="113">
      <x:formula>$B21="日"</x:formula>
    </x:cfRule>
    <x:cfRule type="timePeriod" dxfId="1" priority="114" timePeriod="lastMonth">
      <x:formula>AND(MONTH(G21)=MONTH(EDATE(TODAY(),0-1)),YEAR(G21)=YEAR(EDATE(TODAY(),0-1)))</x:formula>
    </x:cfRule>
  </x:conditionalFormatting>
  <x:conditionalFormatting sqref="I21:I21">
    <x:cfRule type="expression" dxfId="3" priority="109">
      <x:formula>$B21="土"</x:formula>
    </x:cfRule>
    <x:cfRule type="expression" dxfId="3" priority="110">
      <x:formula>$B21="日"</x:formula>
    </x:cfRule>
    <x:cfRule type="timePeriod" dxfId="1" priority="111" timePeriod="lastMonth">
      <x:formula>AND(MONTH(I21)=MONTH(EDATE(TODAY(),0-1)),YEAR(I21)=YEAR(EDATE(TODAY(),0-1)))</x:formula>
    </x:cfRule>
  </x:conditionalFormatting>
  <x:conditionalFormatting sqref="K21:K21">
    <x:cfRule type="expression" dxfId="3" priority="213">
      <x:formula>$B21="土"</x:formula>
    </x:cfRule>
    <x:cfRule type="expression" dxfId="3" priority="214">
      <x:formula>$B21="日"</x:formula>
    </x:cfRule>
    <x:cfRule type="timePeriod" dxfId="1" priority="215" timePeriod="lastMonth">
      <x:formula>AND(MONTH(K21)=MONTH(EDATE(TODAY(),0-1)),YEAR(K21)=YEAR(EDATE(TODAY(),0-1)))</x:formula>
    </x:cfRule>
  </x:conditionalFormatting>
  <x:conditionalFormatting sqref="C22:F22">
    <x:cfRule type="timePeriod" dxfId="1" priority="106" timePeriod="lastMonth">
      <x:formula>AND(MONTH(C22)=MONTH(EDATE(TODAY(),0-1)),YEAR(C22)=YEAR(EDATE(TODAY(),0-1)))</x:formula>
    </x:cfRule>
    <x:cfRule type="expression" dxfId="3" priority="107">
      <x:formula>$B22="土"</x:formula>
    </x:cfRule>
    <x:cfRule type="expression" dxfId="3" priority="108">
      <x:formula>$B22="日"</x:formula>
    </x:cfRule>
  </x:conditionalFormatting>
  <x:conditionalFormatting sqref="G22:G22">
    <x:cfRule type="expression" dxfId="3" priority="103">
      <x:formula>$B22="土"</x:formula>
    </x:cfRule>
    <x:cfRule type="expression" dxfId="3" priority="104">
      <x:formula>$B22="日"</x:formula>
    </x:cfRule>
    <x:cfRule type="timePeriod" dxfId="1" priority="105" timePeriod="lastMonth">
      <x:formula>AND(MONTH(G22)=MONTH(EDATE(TODAY(),0-1)),YEAR(G22)=YEAR(EDATE(TODAY(),0-1)))</x:formula>
    </x:cfRule>
  </x:conditionalFormatting>
  <x:conditionalFormatting sqref="H22:H22">
    <x:cfRule type="expression" dxfId="3" priority="100">
      <x:formula>$B22="土"</x:formula>
    </x:cfRule>
    <x:cfRule type="expression" dxfId="3" priority="101">
      <x:formula>$B22="日"</x:formula>
    </x:cfRule>
    <x:cfRule type="timePeriod" dxfId="1" priority="102" timePeriod="lastMonth">
      <x:formula>AND(MONTH(H22)=MONTH(EDATE(TODAY(),0-1)),YEAR(H22)=YEAR(EDATE(TODAY(),0-1)))</x:formula>
    </x:cfRule>
  </x:conditionalFormatting>
  <x:conditionalFormatting sqref="I22:I22">
    <x:cfRule type="expression" dxfId="3" priority="97">
      <x:formula>$B22="土"</x:formula>
    </x:cfRule>
    <x:cfRule type="expression" dxfId="3" priority="98">
      <x:formula>$B22="日"</x:formula>
    </x:cfRule>
    <x:cfRule type="timePeriod" dxfId="1" priority="99" timePeriod="lastMonth">
      <x:formula>AND(MONTH(I22)=MONTH(EDATE(TODAY(),0-1)),YEAR(I22)=YEAR(EDATE(TODAY(),0-1)))</x:formula>
    </x:cfRule>
  </x:conditionalFormatting>
  <x:conditionalFormatting sqref="A23:B23">
    <x:cfRule type="expression" dxfId="3" priority="227">
      <x:formula>$B23="土"</x:formula>
    </x:cfRule>
    <x:cfRule type="expression" dxfId="3" priority="228">
      <x:formula>$B23="日"</x:formula>
    </x:cfRule>
  </x:conditionalFormatting>
  <x:conditionalFormatting sqref="B23:B23">
    <x:cfRule type="timePeriod" dxfId="1" priority="229" timePeriod="lastMonth">
      <x:formula>AND(MONTH(B23)=MONTH(EDATE(TODAY(),0-1)),YEAR(B23)=YEAR(EDATE(TODAY(),0-1)))</x:formula>
    </x:cfRule>
  </x:conditionalFormatting>
  <x:conditionalFormatting sqref="C23:F23">
    <x:cfRule type="timePeriod" dxfId="1" priority="154" timePeriod="lastMonth">
      <x:formula>AND(MONTH(C23)=MONTH(EDATE(TODAY(),0-1)),YEAR(C23)=YEAR(EDATE(TODAY(),0-1)))</x:formula>
    </x:cfRule>
    <x:cfRule type="expression" dxfId="3" priority="155">
      <x:formula>$B23="土"</x:formula>
    </x:cfRule>
    <x:cfRule type="expression" dxfId="3" priority="156">
      <x:formula>$B23="日"</x:formula>
    </x:cfRule>
  </x:conditionalFormatting>
  <x:conditionalFormatting sqref="G23:G23">
    <x:cfRule type="expression" dxfId="3" priority="151">
      <x:formula>$B23="土"</x:formula>
    </x:cfRule>
    <x:cfRule type="expression" dxfId="3" priority="152">
      <x:formula>$B23="日"</x:formula>
    </x:cfRule>
    <x:cfRule type="timePeriod" dxfId="1" priority="153" timePeriod="lastMonth">
      <x:formula>AND(MONTH(G23)=MONTH(EDATE(TODAY(),0-1)),YEAR(G23)=YEAR(EDATE(TODAY(),0-1)))</x:formula>
    </x:cfRule>
  </x:conditionalFormatting>
  <x:conditionalFormatting sqref="H23:H23">
    <x:cfRule type="expression" dxfId="3" priority="94">
      <x:formula>$B23="土"</x:formula>
    </x:cfRule>
    <x:cfRule type="expression" dxfId="3" priority="95">
      <x:formula>$B23="日"</x:formula>
    </x:cfRule>
    <x:cfRule type="timePeriod" dxfId="1" priority="96" timePeriod="lastMonth">
      <x:formula>AND(MONTH(H23)=MONTH(EDATE(TODAY(),0-1)),YEAR(H23)=YEAR(EDATE(TODAY(),0-1)))</x:formula>
    </x:cfRule>
  </x:conditionalFormatting>
  <x:conditionalFormatting sqref="I23:I23">
    <x:cfRule type="expression" dxfId="3" priority="91">
      <x:formula>$B23="土"</x:formula>
    </x:cfRule>
    <x:cfRule type="expression" dxfId="3" priority="92">
      <x:formula>$B23="日"</x:formula>
    </x:cfRule>
    <x:cfRule type="timePeriod" dxfId="1" priority="93" timePeriod="lastMonth">
      <x:formula>AND(MONTH(I23)=MONTH(EDATE(TODAY(),0-1)),YEAR(I23)=YEAR(EDATE(TODAY(),0-1)))</x:formula>
    </x:cfRule>
  </x:conditionalFormatting>
  <x:conditionalFormatting sqref="J23:J23">
    <x:cfRule type="expression" dxfId="3" priority="224">
      <x:formula>$B23="土"</x:formula>
    </x:cfRule>
    <x:cfRule type="expression" dxfId="3" priority="225">
      <x:formula>$B23="日"</x:formula>
    </x:cfRule>
    <x:cfRule type="timePeriod" dxfId="1" priority="226" timePeriod="lastMonth">
      <x:formula>AND(MONTH(J23)=MONTH(EDATE(TODAY(),0-1)),YEAR(J23)=YEAR(EDATE(TODAY(),0-1)))</x:formula>
    </x:cfRule>
  </x:conditionalFormatting>
  <x:conditionalFormatting sqref="K23:K23">
    <x:cfRule type="timePeriod" dxfId="1" priority="222" timePeriod="lastMonth">
      <x:formula>AND(MONTH(K23)=MONTH(EDATE(TODAY(),0-1)),YEAR(K23)=YEAR(EDATE(TODAY(),0-1)))</x:formula>
    </x:cfRule>
    <x:cfRule type="expression" dxfId="3" priority="223">
      <x:formula>WEEKDAY(K$10)=L$4</x:formula>
    </x:cfRule>
  </x:conditionalFormatting>
  <x:conditionalFormatting sqref="C24:F24">
    <x:cfRule type="timePeriod" dxfId="1" priority="148" timePeriod="lastMonth">
      <x:formula>AND(MONTH(C24)=MONTH(EDATE(TODAY(),0-1)),YEAR(C24)=YEAR(EDATE(TODAY(),0-1)))</x:formula>
    </x:cfRule>
    <x:cfRule type="expression" dxfId="3" priority="149">
      <x:formula>$B24="土"</x:formula>
    </x:cfRule>
    <x:cfRule type="expression" dxfId="3" priority="150">
      <x:formula>$B24="日"</x:formula>
    </x:cfRule>
  </x:conditionalFormatting>
  <x:conditionalFormatting sqref="G24:G24">
    <x:cfRule type="expression" dxfId="3" priority="145">
      <x:formula>$B24="土"</x:formula>
    </x:cfRule>
    <x:cfRule type="expression" dxfId="3" priority="146">
      <x:formula>$B24="日"</x:formula>
    </x:cfRule>
    <x:cfRule type="timePeriod" dxfId="1" priority="147" timePeriod="lastMonth">
      <x:formula>AND(MONTH(G24)=MONTH(EDATE(TODAY(),0-1)),YEAR(G24)=YEAR(EDATE(TODAY(),0-1)))</x:formula>
    </x:cfRule>
  </x:conditionalFormatting>
  <x:conditionalFormatting sqref="H24:H24">
    <x:cfRule type="expression" dxfId="3" priority="88">
      <x:formula>$B24="土"</x:formula>
    </x:cfRule>
    <x:cfRule type="expression" dxfId="3" priority="89">
      <x:formula>$B24="日"</x:formula>
    </x:cfRule>
    <x:cfRule type="timePeriod" dxfId="1" priority="90" timePeriod="lastMonth">
      <x:formula>AND(MONTH(H24)=MONTH(EDATE(TODAY(),0-1)),YEAR(H24)=YEAR(EDATE(TODAY(),0-1)))</x:formula>
    </x:cfRule>
  </x:conditionalFormatting>
  <x:conditionalFormatting sqref="I24:I24">
    <x:cfRule type="expression" dxfId="3" priority="85">
      <x:formula>$B24="土"</x:formula>
    </x:cfRule>
    <x:cfRule type="expression" dxfId="3" priority="86">
      <x:formula>$B24="日"</x:formula>
    </x:cfRule>
    <x:cfRule type="timePeriod" dxfId="1" priority="87" timePeriod="lastMonth">
      <x:formula>AND(MONTH(I24)=MONTH(EDATE(TODAY(),0-1)),YEAR(I24)=YEAR(EDATE(TODAY(),0-1)))</x:formula>
    </x:cfRule>
  </x:conditionalFormatting>
  <x:conditionalFormatting sqref="J24:J24">
    <x:cfRule type="expression" dxfId="3" priority="373">
      <x:formula>$B24="土"</x:formula>
    </x:cfRule>
    <x:cfRule type="expression" dxfId="3" priority="374">
      <x:formula>$B24="日"</x:formula>
    </x:cfRule>
    <x:cfRule type="timePeriod" dxfId="1" priority="375" timePeriod="lastMonth">
      <x:formula>AND(MONTH(J24)=MONTH(EDATE(TODAY(),0-1)),YEAR(J24)=YEAR(EDATE(TODAY(),0-1)))</x:formula>
    </x:cfRule>
  </x:conditionalFormatting>
  <x:conditionalFormatting sqref="K24:K24">
    <x:cfRule type="timePeriod" dxfId="1" priority="328" timePeriod="lastMonth">
      <x:formula>AND(MONTH(K24)=MONTH(EDATE(TODAY(),0-1)),YEAR(K24)=YEAR(EDATE(TODAY(),0-1)))</x:formula>
    </x:cfRule>
    <x:cfRule type="expression" dxfId="3" priority="329">
      <x:formula>WEEKDAY(K$10)=L$4</x:formula>
    </x:cfRule>
  </x:conditionalFormatting>
  <x:conditionalFormatting sqref="C27:F27">
    <x:cfRule type="timePeriod" dxfId="1" priority="82" timePeriod="lastMonth">
      <x:formula>AND(MONTH(C27)=MONTH(EDATE(TODAY(),0-1)),YEAR(C27)=YEAR(EDATE(TODAY(),0-1)))</x:formula>
    </x:cfRule>
    <x:cfRule type="expression" dxfId="3" priority="83">
      <x:formula>$B27="土"</x:formula>
    </x:cfRule>
    <x:cfRule type="expression" dxfId="3" priority="84">
      <x:formula>$B27="日"</x:formula>
    </x:cfRule>
  </x:conditionalFormatting>
  <x:conditionalFormatting sqref="G27:G27">
    <x:cfRule type="expression" dxfId="3" priority="79">
      <x:formula>$B27="土"</x:formula>
    </x:cfRule>
    <x:cfRule type="expression" dxfId="3" priority="80">
      <x:formula>$B27="日"</x:formula>
    </x:cfRule>
    <x:cfRule type="timePeriod" dxfId="1" priority="81" timePeriod="lastMonth">
      <x:formula>AND(MONTH(G27)=MONTH(EDATE(TODAY(),0-1)),YEAR(G27)=YEAR(EDATE(TODAY(),0-1)))</x:formula>
    </x:cfRule>
  </x:conditionalFormatting>
  <x:conditionalFormatting sqref="H27:H27">
    <x:cfRule type="expression" dxfId="3" priority="76">
      <x:formula>$B27="土"</x:formula>
    </x:cfRule>
    <x:cfRule type="expression" dxfId="3" priority="77">
      <x:formula>$B27="日"</x:formula>
    </x:cfRule>
    <x:cfRule type="timePeriod" dxfId="1" priority="78" timePeriod="lastMonth">
      <x:formula>AND(MONTH(H27)=MONTH(EDATE(TODAY(),0-1)),YEAR(H27)=YEAR(EDATE(TODAY(),0-1)))</x:formula>
    </x:cfRule>
  </x:conditionalFormatting>
  <x:conditionalFormatting sqref="I27:I27">
    <x:cfRule type="expression" dxfId="3" priority="73">
      <x:formula>$B27="土"</x:formula>
    </x:cfRule>
    <x:cfRule type="expression" dxfId="3" priority="74">
      <x:formula>$B27="日"</x:formula>
    </x:cfRule>
    <x:cfRule type="timePeriod" dxfId="1" priority="75" timePeriod="lastMonth">
      <x:formula>AND(MONTH(I27)=MONTH(EDATE(TODAY(),0-1)),YEAR(I27)=YEAR(EDATE(TODAY(),0-1)))</x:formula>
    </x:cfRule>
  </x:conditionalFormatting>
  <x:conditionalFormatting sqref="C28:F28">
    <x:cfRule type="timePeriod" dxfId="1" priority="70" timePeriod="lastMonth">
      <x:formula>AND(MONTH(C28)=MONTH(EDATE(TODAY(),0-1)),YEAR(C28)=YEAR(EDATE(TODAY(),0-1)))</x:formula>
    </x:cfRule>
    <x:cfRule type="expression" dxfId="3" priority="71">
      <x:formula>$B28="土"</x:formula>
    </x:cfRule>
    <x:cfRule type="expression" dxfId="3" priority="72">
      <x:formula>$B28="日"</x:formula>
    </x:cfRule>
  </x:conditionalFormatting>
  <x:conditionalFormatting sqref="G28:G28">
    <x:cfRule type="expression" dxfId="3" priority="67">
      <x:formula>$B28="土"</x:formula>
    </x:cfRule>
    <x:cfRule type="expression" dxfId="3" priority="68">
      <x:formula>$B28="日"</x:formula>
    </x:cfRule>
    <x:cfRule type="timePeriod" dxfId="1" priority="69" timePeriod="lastMonth">
      <x:formula>AND(MONTH(G28)=MONTH(EDATE(TODAY(),0-1)),YEAR(G28)=YEAR(EDATE(TODAY(),0-1)))</x:formula>
    </x:cfRule>
  </x:conditionalFormatting>
  <x:conditionalFormatting sqref="H28:H28">
    <x:cfRule type="expression" dxfId="3" priority="64">
      <x:formula>$B28="土"</x:formula>
    </x:cfRule>
    <x:cfRule type="expression" dxfId="3" priority="65">
      <x:formula>$B28="日"</x:formula>
    </x:cfRule>
    <x:cfRule type="timePeriod" dxfId="1" priority="66" timePeriod="lastMonth">
      <x:formula>AND(MONTH(H28)=MONTH(EDATE(TODAY(),0-1)),YEAR(H28)=YEAR(EDATE(TODAY(),0-1)))</x:formula>
    </x:cfRule>
  </x:conditionalFormatting>
  <x:conditionalFormatting sqref="I28:I28">
    <x:cfRule type="expression" dxfId="3" priority="61">
      <x:formula>$B28="土"</x:formula>
    </x:cfRule>
    <x:cfRule type="expression" dxfId="3" priority="62">
      <x:formula>$B28="日"</x:formula>
    </x:cfRule>
    <x:cfRule type="timePeriod" dxfId="1" priority="63" timePeriod="lastMonth">
      <x:formula>AND(MONTH(I28)=MONTH(EDATE(TODAY(),0-1)),YEAR(I28)=YEAR(EDATE(TODAY(),0-1)))</x:formula>
    </x:cfRule>
  </x:conditionalFormatting>
  <x:conditionalFormatting sqref="H29:H29">
    <x:cfRule type="expression" dxfId="3" priority="133">
      <x:formula>$B29="土"</x:formula>
    </x:cfRule>
    <x:cfRule type="expression" dxfId="3" priority="134">
      <x:formula>$B29="日"</x:formula>
    </x:cfRule>
    <x:cfRule type="timePeriod" dxfId="1" priority="135" timePeriod="lastMonth">
      <x:formula>AND(MONTH(H29)=MONTH(EDATE(TODAY(),0-1)),YEAR(H29)=YEAR(EDATE(TODAY(),0-1)))</x:formula>
    </x:cfRule>
  </x:conditionalFormatting>
  <x:conditionalFormatting sqref="I29:I29">
    <x:cfRule type="expression" dxfId="3" priority="130">
      <x:formula>$B29="土"</x:formula>
    </x:cfRule>
    <x:cfRule type="expression" dxfId="3" priority="131">
      <x:formula>$B29="日"</x:formula>
    </x:cfRule>
    <x:cfRule type="timePeriod" dxfId="1" priority="132" timePeriod="lastMonth">
      <x:formula>AND(MONTH(I29)=MONTH(EDATE(TODAY(),0-1)),YEAR(I29)=YEAR(EDATE(TODAY(),0-1)))</x:formula>
    </x:cfRule>
  </x:conditionalFormatting>
  <x:conditionalFormatting sqref="C30:F30">
    <x:cfRule type="timePeriod" dxfId="1" priority="139" timePeriod="lastMonth">
      <x:formula>AND(MONTH(C30)=MONTH(EDATE(TODAY(),0-1)),YEAR(C30)=YEAR(EDATE(TODAY(),0-1)))</x:formula>
    </x:cfRule>
    <x:cfRule type="expression" dxfId="3" priority="140">
      <x:formula>$B30="土"</x:formula>
    </x:cfRule>
    <x:cfRule type="expression" dxfId="3" priority="141">
      <x:formula>$B30="日"</x:formula>
    </x:cfRule>
  </x:conditionalFormatting>
  <x:conditionalFormatting sqref="G30:G30">
    <x:cfRule type="expression" dxfId="3" priority="136">
      <x:formula>$B30="土"</x:formula>
    </x:cfRule>
    <x:cfRule type="expression" dxfId="3" priority="137">
      <x:formula>$B30="日"</x:formula>
    </x:cfRule>
    <x:cfRule type="timePeriod" dxfId="1" priority="138" timePeriod="lastMonth">
      <x:formula>AND(MONTH(G30)=MONTH(EDATE(TODAY(),0-1)),YEAR(G30)=YEAR(EDATE(TODAY(),0-1)))</x:formula>
    </x:cfRule>
  </x:conditionalFormatting>
  <x:conditionalFormatting sqref="H30:H30">
    <x:cfRule type="expression" dxfId="3" priority="58">
      <x:formula>$B30="土"</x:formula>
    </x:cfRule>
    <x:cfRule type="expression" dxfId="3" priority="59">
      <x:formula>$B30="日"</x:formula>
    </x:cfRule>
    <x:cfRule type="timePeriod" dxfId="1" priority="60" timePeriod="lastMonth">
      <x:formula>AND(MONTH(H30)=MONTH(EDATE(TODAY(),0-1)),YEAR(H30)=YEAR(EDATE(TODAY(),0-1)))</x:formula>
    </x:cfRule>
  </x:conditionalFormatting>
  <x:conditionalFormatting sqref="I30:I30">
    <x:cfRule type="expression" dxfId="3" priority="55">
      <x:formula>$B30="土"</x:formula>
    </x:cfRule>
    <x:cfRule type="expression" dxfId="3" priority="56">
      <x:formula>$B30="日"</x:formula>
    </x:cfRule>
    <x:cfRule type="timePeriod" dxfId="1" priority="57" timePeriod="lastMonth">
      <x:formula>AND(MONTH(I30)=MONTH(EDATE(TODAY(),0-1)),YEAR(I30)=YEAR(EDATE(TODAY(),0-1)))</x:formula>
    </x:cfRule>
  </x:conditionalFormatting>
  <x:conditionalFormatting sqref="J30:J30">
    <x:cfRule type="expression" dxfId="3" priority="325">
      <x:formula>$B30="土"</x:formula>
    </x:cfRule>
    <x:cfRule type="expression" dxfId="3" priority="326">
      <x:formula>$B30="日"</x:formula>
    </x:cfRule>
    <x:cfRule type="timePeriod" dxfId="1" priority="327" timePeriod="lastMonth">
      <x:formula>AND(MONTH(J30)=MONTH(EDATE(TODAY(),0-1)),YEAR(J30)=YEAR(EDATE(TODAY(),0-1)))</x:formula>
    </x:cfRule>
  </x:conditionalFormatting>
  <x:conditionalFormatting sqref="K30:K30">
    <x:cfRule type="timePeriod" dxfId="1" priority="323" timePeriod="lastMonth">
      <x:formula>AND(MONTH(K30)=MONTH(EDATE(TODAY(),0-1)),YEAR(K30)=YEAR(EDATE(TODAY(),0-1)))</x:formula>
    </x:cfRule>
    <x:cfRule type="expression" dxfId="3" priority="324">
      <x:formula>WEEKDAY(K$10)=L$4</x:formula>
    </x:cfRule>
  </x:conditionalFormatting>
  <x:conditionalFormatting sqref="C31:F31">
    <x:cfRule type="timePeriod" dxfId="1" priority="52" timePeriod="lastMonth">
      <x:formula>AND(MONTH(C31)=MONTH(EDATE(TODAY(),0-1)),YEAR(C31)=YEAR(EDATE(TODAY(),0-1)))</x:formula>
    </x:cfRule>
    <x:cfRule type="expression" dxfId="3" priority="53">
      <x:formula>$B31="土"</x:formula>
    </x:cfRule>
    <x:cfRule type="expression" dxfId="3" priority="54">
      <x:formula>$B31="日"</x:formula>
    </x:cfRule>
  </x:conditionalFormatting>
  <x:conditionalFormatting sqref="G31:G31">
    <x:cfRule type="expression" dxfId="3" priority="49">
      <x:formula>$B31="土"</x:formula>
    </x:cfRule>
    <x:cfRule type="expression" dxfId="3" priority="50">
      <x:formula>$B31="日"</x:formula>
    </x:cfRule>
    <x:cfRule type="timePeriod" dxfId="1" priority="51" timePeriod="lastMonth">
      <x:formula>AND(MONTH(G31)=MONTH(EDATE(TODAY(),0-1)),YEAR(G31)=YEAR(EDATE(TODAY(),0-1)))</x:formula>
    </x:cfRule>
  </x:conditionalFormatting>
  <x:conditionalFormatting sqref="H31:H31">
    <x:cfRule type="expression" dxfId="3" priority="127">
      <x:formula>$B31="土"</x:formula>
    </x:cfRule>
    <x:cfRule type="expression" dxfId="3" priority="128">
      <x:formula>$B31="日"</x:formula>
    </x:cfRule>
    <x:cfRule type="timePeriod" dxfId="1" priority="129" timePeriod="lastMonth">
      <x:formula>AND(MONTH(H31)=MONTH(EDATE(TODAY(),0-1)),YEAR(H31)=YEAR(EDATE(TODAY(),0-1)))</x:formula>
    </x:cfRule>
  </x:conditionalFormatting>
  <x:conditionalFormatting sqref="I31:I31">
    <x:cfRule type="expression" dxfId="3" priority="124">
      <x:formula>$B31="土"</x:formula>
    </x:cfRule>
    <x:cfRule type="expression" dxfId="3" priority="125">
      <x:formula>$B31="日"</x:formula>
    </x:cfRule>
    <x:cfRule type="timePeriod" dxfId="1" priority="126" timePeriod="lastMonth">
      <x:formula>AND(MONTH(I31)=MONTH(EDATE(TODAY(),0-1)),YEAR(I31)=YEAR(EDATE(TODAY(),0-1)))</x:formula>
    </x:cfRule>
  </x:conditionalFormatting>
  <x:conditionalFormatting sqref="J31:J31">
    <x:cfRule type="expression" dxfId="3" priority="370">
      <x:formula>$B31="土"</x:formula>
    </x:cfRule>
    <x:cfRule type="expression" dxfId="3" priority="371">
      <x:formula>$B31="日"</x:formula>
    </x:cfRule>
    <x:cfRule type="timePeriod" dxfId="1" priority="372" timePeriod="lastMonth">
      <x:formula>AND(MONTH(J31)=MONTH(EDATE(TODAY(),0-1)),YEAR(J31)=YEAR(EDATE(TODAY(),0-1)))</x:formula>
    </x:cfRule>
  </x:conditionalFormatting>
  <x:conditionalFormatting sqref="K31:K31">
    <x:cfRule type="timePeriod" dxfId="1" priority="368" timePeriod="lastMonth">
      <x:formula>AND(MONTH(K31)=MONTH(EDATE(TODAY(),0-1)),YEAR(K31)=YEAR(EDATE(TODAY(),0-1)))</x:formula>
    </x:cfRule>
    <x:cfRule type="expression" dxfId="3" priority="369">
      <x:formula>WEEKDAY(K$10)=L$4</x:formula>
    </x:cfRule>
  </x:conditionalFormatting>
  <x:conditionalFormatting sqref="C34:F34">
    <x:cfRule type="timePeriod" dxfId="1" priority="46" timePeriod="lastMonth">
      <x:formula>AND(MONTH(C34)=MONTH(EDATE(TODAY(),0-1)),YEAR(C34)=YEAR(EDATE(TODAY(),0-1)))</x:formula>
    </x:cfRule>
    <x:cfRule type="expression" dxfId="3" priority="47">
      <x:formula>$B34="土"</x:formula>
    </x:cfRule>
    <x:cfRule type="expression" dxfId="3" priority="48">
      <x:formula>$B34="日"</x:formula>
    </x:cfRule>
  </x:conditionalFormatting>
  <x:conditionalFormatting sqref="G34:G34">
    <x:cfRule type="expression" dxfId="3" priority="43">
      <x:formula>$B34="土"</x:formula>
    </x:cfRule>
    <x:cfRule type="expression" dxfId="3" priority="44">
      <x:formula>$B34="日"</x:formula>
    </x:cfRule>
    <x:cfRule type="timePeriod" dxfId="1" priority="45" timePeriod="lastMonth">
      <x:formula>AND(MONTH(G34)=MONTH(EDATE(TODAY(),0-1)),YEAR(G34)=YEAR(EDATE(TODAY(),0-1)))</x:formula>
    </x:cfRule>
  </x:conditionalFormatting>
  <x:conditionalFormatting sqref="H34:H34">
    <x:cfRule type="expression" dxfId="3" priority="40">
      <x:formula>$B34="土"</x:formula>
    </x:cfRule>
    <x:cfRule type="expression" dxfId="3" priority="41">
      <x:formula>$B34="日"</x:formula>
    </x:cfRule>
    <x:cfRule type="timePeriod" dxfId="1" priority="42" timePeriod="lastMonth">
      <x:formula>AND(MONTH(H34)=MONTH(EDATE(TODAY(),0-1)),YEAR(H34)=YEAR(EDATE(TODAY(),0-1)))</x:formula>
    </x:cfRule>
  </x:conditionalFormatting>
  <x:conditionalFormatting sqref="I34:I34">
    <x:cfRule type="expression" dxfId="3" priority="37">
      <x:formula>$B34="土"</x:formula>
    </x:cfRule>
    <x:cfRule type="expression" dxfId="3" priority="38">
      <x:formula>$B34="日"</x:formula>
    </x:cfRule>
    <x:cfRule type="timePeriod" dxfId="1" priority="39" timePeriod="lastMonth">
      <x:formula>AND(MONTH(I34)=MONTH(EDATE(TODAY(),0-1)),YEAR(I34)=YEAR(EDATE(TODAY(),0-1)))</x:formula>
    </x:cfRule>
  </x:conditionalFormatting>
  <x:conditionalFormatting sqref="C35:F35">
    <x:cfRule type="timePeriod" dxfId="1" priority="34" timePeriod="lastMonth">
      <x:formula>AND(MONTH(C35)=MONTH(EDATE(TODAY(),0-1)),YEAR(C35)=YEAR(EDATE(TODAY(),0-1)))</x:formula>
    </x:cfRule>
    <x:cfRule type="expression" dxfId="3" priority="35">
      <x:formula>$B35="土"</x:formula>
    </x:cfRule>
    <x:cfRule type="expression" dxfId="3" priority="36">
      <x:formula>$B35="日"</x:formula>
    </x:cfRule>
  </x:conditionalFormatting>
  <x:conditionalFormatting sqref="G35:G35">
    <x:cfRule type="expression" dxfId="3" priority="31">
      <x:formula>$B35="土"</x:formula>
    </x:cfRule>
    <x:cfRule type="expression" dxfId="3" priority="32">
      <x:formula>$B35="日"</x:formula>
    </x:cfRule>
    <x:cfRule type="timePeriod" dxfId="1" priority="33" timePeriod="lastMonth">
      <x:formula>AND(MONTH(G35)=MONTH(EDATE(TODAY(),0-1)),YEAR(G35)=YEAR(EDATE(TODAY(),0-1)))</x:formula>
    </x:cfRule>
  </x:conditionalFormatting>
  <x:conditionalFormatting sqref="H35:H35">
    <x:cfRule type="expression" dxfId="3" priority="28">
      <x:formula>$B35="土"</x:formula>
    </x:cfRule>
    <x:cfRule type="expression" dxfId="3" priority="29">
      <x:formula>$B35="日"</x:formula>
    </x:cfRule>
    <x:cfRule type="timePeriod" dxfId="1" priority="30" timePeriod="lastMonth">
      <x:formula>AND(MONTH(H35)=MONTH(EDATE(TODAY(),0-1)),YEAR(H35)=YEAR(EDATE(TODAY(),0-1)))</x:formula>
    </x:cfRule>
  </x:conditionalFormatting>
  <x:conditionalFormatting sqref="I35:I35">
    <x:cfRule type="expression" dxfId="3" priority="25">
      <x:formula>$B35="土"</x:formula>
    </x:cfRule>
    <x:cfRule type="expression" dxfId="3" priority="26">
      <x:formula>$B35="日"</x:formula>
    </x:cfRule>
    <x:cfRule type="timePeriod" dxfId="1" priority="27" timePeriod="lastMonth">
      <x:formula>AND(MONTH(I35)=MONTH(EDATE(TODAY(),0-1)),YEAR(I35)=YEAR(EDATE(TODAY(),0-1)))</x:formula>
    </x:cfRule>
  </x:conditionalFormatting>
  <x:conditionalFormatting sqref="C36:F36">
    <x:cfRule type="timePeriod" dxfId="1" priority="22" timePeriod="lastMonth">
      <x:formula>AND(MONTH(C36)=MONTH(EDATE(TODAY(),0-1)),YEAR(C36)=YEAR(EDATE(TODAY(),0-1)))</x:formula>
    </x:cfRule>
    <x:cfRule type="expression" dxfId="3" priority="23">
      <x:formula>$B36="土"</x:formula>
    </x:cfRule>
    <x:cfRule type="expression" dxfId="3" priority="24">
      <x:formula>$B36="日"</x:formula>
    </x:cfRule>
  </x:conditionalFormatting>
  <x:conditionalFormatting sqref="G36:G36">
    <x:cfRule type="expression" dxfId="3" priority="19">
      <x:formula>$B36="土"</x:formula>
    </x:cfRule>
    <x:cfRule type="expression" dxfId="3" priority="20">
      <x:formula>$B36="日"</x:formula>
    </x:cfRule>
    <x:cfRule type="timePeriod" dxfId="1" priority="21" timePeriod="lastMonth">
      <x:formula>AND(MONTH(G36)=MONTH(EDATE(TODAY(),0-1)),YEAR(G36)=YEAR(EDATE(TODAY(),0-1)))</x:formula>
    </x:cfRule>
  </x:conditionalFormatting>
  <x:conditionalFormatting sqref="H36:H36">
    <x:cfRule type="expression" dxfId="3" priority="16">
      <x:formula>$B36="土"</x:formula>
    </x:cfRule>
    <x:cfRule type="expression" dxfId="3" priority="17">
      <x:formula>$B36="日"</x:formula>
    </x:cfRule>
    <x:cfRule type="timePeriod" dxfId="1" priority="18" timePeriod="lastMonth">
      <x:formula>AND(MONTH(H36)=MONTH(EDATE(TODAY(),0-1)),YEAR(H36)=YEAR(EDATE(TODAY(),0-1)))</x:formula>
    </x:cfRule>
  </x:conditionalFormatting>
  <x:conditionalFormatting sqref="I36:I36">
    <x:cfRule type="expression" dxfId="3" priority="13">
      <x:formula>$B36="土"</x:formula>
    </x:cfRule>
    <x:cfRule type="expression" dxfId="3" priority="14">
      <x:formula>$B36="日"</x:formula>
    </x:cfRule>
    <x:cfRule type="timePeriod" dxfId="1" priority="15" timePeriod="lastMonth">
      <x:formula>AND(MONTH(I36)=MONTH(EDATE(TODAY(),0-1)),YEAR(I36)=YEAR(EDATE(TODAY(),0-1)))</x:formula>
    </x:cfRule>
  </x:conditionalFormatting>
  <x:conditionalFormatting sqref="J36:J36">
    <x:cfRule type="expression" dxfId="3" priority="320">
      <x:formula>$B36="土"</x:formula>
    </x:cfRule>
    <x:cfRule type="expression" dxfId="3" priority="321">
      <x:formula>$B36="日"</x:formula>
    </x:cfRule>
    <x:cfRule type="timePeriod" dxfId="1" priority="322" timePeriod="lastMonth">
      <x:formula>AND(MONTH(J36)=MONTH(EDATE(TODAY(),0-1)),YEAR(J36)=YEAR(EDATE(TODAY(),0-1)))</x:formula>
    </x:cfRule>
  </x:conditionalFormatting>
  <x:conditionalFormatting sqref="K36:K36">
    <x:cfRule type="timePeriod" dxfId="1" priority="318" timePeriod="lastMonth">
      <x:formula>AND(MONTH(K36)=MONTH(EDATE(TODAY(),0-1)),YEAR(K36)=YEAR(EDATE(TODAY(),0-1)))</x:formula>
    </x:cfRule>
    <x:cfRule type="expression" dxfId="3" priority="319">
      <x:formula>WEEKDAY(K$10)=L$4</x:formula>
    </x:cfRule>
  </x:conditionalFormatting>
  <x:conditionalFormatting sqref="J37:J37">
    <x:cfRule type="expression" dxfId="3" priority="315">
      <x:formula>$B37="土"</x:formula>
    </x:cfRule>
    <x:cfRule type="expression" dxfId="3" priority="316">
      <x:formula>$B37="日"</x:formula>
    </x:cfRule>
    <x:cfRule type="timePeriod" dxfId="1" priority="317" timePeriod="lastMonth">
      <x:formula>AND(MONTH(J37)=MONTH(EDATE(TODAY(),0-1)),YEAR(J37)=YEAR(EDATE(TODAY(),0-1)))</x:formula>
    </x:cfRule>
  </x:conditionalFormatting>
  <x:conditionalFormatting sqref="K37:K37">
    <x:cfRule type="timePeriod" dxfId="1" priority="313" timePeriod="lastMonth">
      <x:formula>AND(MONTH(K37)=MONTH(EDATE(TODAY(),0-1)),YEAR(K37)=YEAR(EDATE(TODAY(),0-1)))</x:formula>
    </x:cfRule>
    <x:cfRule type="expression" dxfId="3" priority="314">
      <x:formula>WEEKDAY(K$10)=L$4</x:formula>
    </x:cfRule>
  </x:conditionalFormatting>
  <x:conditionalFormatting sqref="J38:J38">
    <x:cfRule type="expression" dxfId="3" priority="350">
      <x:formula>$B38="土"</x:formula>
    </x:cfRule>
    <x:cfRule type="expression" dxfId="3" priority="351">
      <x:formula>$B38="日"</x:formula>
    </x:cfRule>
    <x:cfRule type="timePeriod" dxfId="1" priority="352" timePeriod="lastMonth">
      <x:formula>AND(MONTH(J38)=MONTH(EDATE(TODAY(),0-1)),YEAR(J38)=YEAR(EDATE(TODAY(),0-1)))</x:formula>
    </x:cfRule>
  </x:conditionalFormatting>
  <x:conditionalFormatting sqref="K38:K38">
    <x:cfRule type="timePeriod" dxfId="1" priority="348" timePeriod="lastMonth">
      <x:formula>AND(MONTH(K38)=MONTH(EDATE(TODAY(),0-1)),YEAR(K38)=YEAR(EDATE(TODAY(),0-1)))</x:formula>
    </x:cfRule>
    <x:cfRule type="expression" dxfId="3" priority="349">
      <x:formula>WEEKDAY(K$10)=L$4</x:formula>
    </x:cfRule>
  </x:conditionalFormatting>
  <x:conditionalFormatting sqref="C39:F39">
    <x:cfRule type="timePeriod" dxfId="1" priority="248" timePeriod="lastMonth">
      <x:formula>AND(MONTH(C39)=MONTH(EDATE(TODAY(),0-1)),YEAR(C39)=YEAR(EDATE(TODAY(),0-1)))</x:formula>
    </x:cfRule>
    <x:cfRule type="expression" dxfId="3" priority="249">
      <x:formula>$B39="土"</x:formula>
    </x:cfRule>
    <x:cfRule type="expression" dxfId="3" priority="250">
      <x:formula>$B39="日"</x:formula>
    </x:cfRule>
  </x:conditionalFormatting>
  <x:conditionalFormatting sqref="G39:G39">
    <x:cfRule type="expression" dxfId="3" priority="245">
      <x:formula>$B39="土"</x:formula>
    </x:cfRule>
    <x:cfRule type="expression" dxfId="3" priority="246">
      <x:formula>$B39="日"</x:formula>
    </x:cfRule>
    <x:cfRule type="timePeriod" dxfId="1" priority="247" timePeriod="lastMonth">
      <x:formula>AND(MONTH(G39)=MONTH(EDATE(TODAY(),0-1)),YEAR(G39)=YEAR(EDATE(TODAY(),0-1)))</x:formula>
    </x:cfRule>
  </x:conditionalFormatting>
  <x:conditionalFormatting sqref="H39:H39">
    <x:cfRule type="expression" dxfId="3" priority="239">
      <x:formula>$B39="土"</x:formula>
    </x:cfRule>
    <x:cfRule type="expression" dxfId="3" priority="240">
      <x:formula>$B39="日"</x:formula>
    </x:cfRule>
    <x:cfRule type="timePeriod" dxfId="1" priority="241" timePeriod="lastMonth">
      <x:formula>AND(MONTH(H39)=MONTH(EDATE(TODAY(),0-1)),YEAR(H39)=YEAR(EDATE(TODAY(),0-1)))</x:formula>
    </x:cfRule>
  </x:conditionalFormatting>
  <x:conditionalFormatting sqref="J39:J39">
    <x:cfRule type="expression" dxfId="3" priority="345">
      <x:formula>$B39="土"</x:formula>
    </x:cfRule>
    <x:cfRule type="expression" dxfId="3" priority="346">
      <x:formula>$B39="日"</x:formula>
    </x:cfRule>
    <x:cfRule type="timePeriod" dxfId="1" priority="347" timePeriod="lastMonth">
      <x:formula>AND(MONTH(J39)=MONTH(EDATE(TODAY(),0-1)),YEAR(J39)=YEAR(EDATE(TODAY(),0-1)))</x:formula>
    </x:cfRule>
  </x:conditionalFormatting>
  <x:conditionalFormatting sqref="K39:K39">
    <x:cfRule type="timePeriod" dxfId="1" priority="343" timePeriod="lastMonth">
      <x:formula>AND(MONTH(K39)=MONTH(EDATE(TODAY(),0-1)),YEAR(K39)=YEAR(EDATE(TODAY(),0-1)))</x:formula>
    </x:cfRule>
    <x:cfRule type="expression" dxfId="3" priority="344">
      <x:formula>WEEKDAY(K$10)=L$4</x:formula>
    </x:cfRule>
  </x:conditionalFormatting>
  <x:conditionalFormatting sqref="C40:F40">
    <x:cfRule type="timePeriod" dxfId="1" priority="233" timePeriod="lastMonth">
      <x:formula>AND(MONTH(C40)=MONTH(EDATE(TODAY(),0-1)),YEAR(C40)=YEAR(EDATE(TODAY(),0-1)))</x:formula>
    </x:cfRule>
    <x:cfRule type="expression" dxfId="3" priority="234">
      <x:formula>$B40="土"</x:formula>
    </x:cfRule>
    <x:cfRule type="expression" dxfId="3" priority="235">
      <x:formula>$B40="日"</x:formula>
    </x:cfRule>
  </x:conditionalFormatting>
  <x:conditionalFormatting sqref="G40:G40">
    <x:cfRule type="expression" dxfId="3" priority="230">
      <x:formula>$B40="土"</x:formula>
    </x:cfRule>
    <x:cfRule type="expression" dxfId="3" priority="231">
      <x:formula>$B40="日"</x:formula>
    </x:cfRule>
    <x:cfRule type="timePeriod" dxfId="1" priority="232" timePeriod="lastMonth">
      <x:formula>AND(MONTH(G40)=MONTH(EDATE(TODAY(),0-1)),YEAR(G40)=YEAR(EDATE(TODAY(),0-1)))</x:formula>
    </x:cfRule>
  </x:conditionalFormatting>
  <x:conditionalFormatting sqref="H40:H40">
    <x:cfRule type="expression" dxfId="3" priority="236">
      <x:formula>$B40="土"</x:formula>
    </x:cfRule>
    <x:cfRule type="expression" dxfId="3" priority="237">
      <x:formula>$B40="日"</x:formula>
    </x:cfRule>
    <x:cfRule type="timePeriod" dxfId="1" priority="238" timePeriod="lastMonth">
      <x:formula>AND(MONTH(H40)=MONTH(EDATE(TODAY(),0-1)),YEAR(H40)=YEAR(EDATE(TODAY(),0-1)))</x:formula>
    </x:cfRule>
  </x:conditionalFormatting>
  <x:conditionalFormatting sqref="J40:J40">
    <x:cfRule type="expression" dxfId="3" priority="340">
      <x:formula>$B40="土"</x:formula>
    </x:cfRule>
    <x:cfRule type="expression" dxfId="3" priority="341">
      <x:formula>$B40="日"</x:formula>
    </x:cfRule>
    <x:cfRule type="timePeriod" dxfId="1" priority="342" timePeriod="lastMonth">
      <x:formula>AND(MONTH(J40)=MONTH(EDATE(TODAY(),0-1)),YEAR(J40)=YEAR(EDATE(TODAY(),0-1)))</x:formula>
    </x:cfRule>
  </x:conditionalFormatting>
  <x:conditionalFormatting sqref="K40:K40">
    <x:cfRule type="timePeriod" dxfId="1" priority="338" timePeriod="lastMonth">
      <x:formula>AND(MONTH(K40)=MONTH(EDATE(TODAY(),0-1)),YEAR(K40)=YEAR(EDATE(TODAY(),0-1)))</x:formula>
    </x:cfRule>
    <x:cfRule type="expression" dxfId="3" priority="339">
      <x:formula>WEEKDAY(K$10)=L$4</x:formula>
    </x:cfRule>
  </x:conditionalFormatting>
  <x:conditionalFormatting sqref="A25:A29">
    <x:cfRule type="expression" dxfId="3" priority="301">
      <x:formula>$B25="土"</x:formula>
    </x:cfRule>
    <x:cfRule type="expression" dxfId="3" priority="302">
      <x:formula>$B25="日"</x:formula>
    </x:cfRule>
  </x:conditionalFormatting>
  <x:conditionalFormatting sqref="B25:B26">
    <x:cfRule type="expression" dxfId="3" priority="404">
      <x:formula>$B25="土"</x:formula>
    </x:cfRule>
    <x:cfRule type="expression" dxfId="3" priority="405">
      <x:formula>$B25="日"</x:formula>
    </x:cfRule>
  </x:conditionalFormatting>
  <x:conditionalFormatting sqref="F11:F13">
    <x:cfRule type="timePeriod" dxfId="1" priority="383" timePeriod="lastMonth">
      <x:formula>AND(MONTH(F11)=MONTH(EDATE(TODAY(),0-1)),YEAR(F11)=YEAR(EDATE(TODAY(),0-1)))</x:formula>
    </x:cfRule>
    <x:cfRule type="expression" dxfId="3" priority="384">
      <x:formula>$B11="土"</x:formula>
    </x:cfRule>
    <x:cfRule type="expression" dxfId="3" priority="385">
      <x:formula>$B11="日"</x:formula>
    </x:cfRule>
  </x:conditionalFormatting>
  <x:conditionalFormatting sqref="G18:G19">
    <x:cfRule type="expression" dxfId="3" priority="287">
      <x:formula>$B18="土"</x:formula>
    </x:cfRule>
    <x:cfRule type="expression" dxfId="3" priority="288">
      <x:formula>$B18="日"</x:formula>
    </x:cfRule>
    <x:cfRule type="timePeriod" dxfId="1" priority="289" timePeriod="lastMonth">
      <x:formula>AND(MONTH(G18)=MONTH(EDATE(TODAY(),0-1)),YEAR(G18)=YEAR(EDATE(TODAY(),0-1)))</x:formula>
    </x:cfRule>
  </x:conditionalFormatting>
  <x:conditionalFormatting sqref="G32:G33">
    <x:cfRule type="expression" dxfId="3" priority="276">
      <x:formula>$B32="土"</x:formula>
    </x:cfRule>
    <x:cfRule type="expression" dxfId="3" priority="277">
      <x:formula>$B32="日"</x:formula>
    </x:cfRule>
    <x:cfRule type="timePeriod" dxfId="1" priority="278" timePeriod="lastMonth">
      <x:formula>AND(MONTH(G32)=MONTH(EDATE(TODAY(),0-1)),YEAR(G32)=YEAR(EDATE(TODAY(),0-1)))</x:formula>
    </x:cfRule>
  </x:conditionalFormatting>
  <x:conditionalFormatting sqref="G37:G38">
    <x:cfRule type="expression" dxfId="3" priority="7">
      <x:formula>$B37="土"</x:formula>
    </x:cfRule>
    <x:cfRule type="expression" dxfId="3" priority="8">
      <x:formula>$B37="日"</x:formula>
    </x:cfRule>
    <x:cfRule type="timePeriod" dxfId="1" priority="9" timePeriod="lastMonth">
      <x:formula>AND(MONTH(G37)=MONTH(EDATE(TODAY(),0-1)),YEAR(G37)=YEAR(EDATE(TODAY(),0-1)))</x:formula>
    </x:cfRule>
  </x:conditionalFormatting>
  <x:conditionalFormatting sqref="H25:H26">
    <x:cfRule type="expression" dxfId="3" priority="265">
      <x:formula>$B25="土"</x:formula>
    </x:cfRule>
    <x:cfRule type="expression" dxfId="3" priority="266">
      <x:formula>$B25="日"</x:formula>
    </x:cfRule>
    <x:cfRule type="timePeriod" dxfId="1" priority="267" timePeriod="lastMonth">
      <x:formula>AND(MONTH(H25)=MONTH(EDATE(TODAY(),0-1)),YEAR(H25)=YEAR(EDATE(TODAY(),0-1)))</x:formula>
    </x:cfRule>
  </x:conditionalFormatting>
  <x:conditionalFormatting sqref="H32:H33">
    <x:cfRule type="expression" dxfId="3" priority="254">
      <x:formula>$B32="土"</x:formula>
    </x:cfRule>
    <x:cfRule type="expression" dxfId="3" priority="255">
      <x:formula>$B32="日"</x:formula>
    </x:cfRule>
    <x:cfRule type="timePeriod" dxfId="1" priority="256" timePeriod="lastMonth">
      <x:formula>AND(MONTH(H32)=MONTH(EDATE(TODAY(),0-1)),YEAR(H32)=YEAR(EDATE(TODAY(),0-1)))</x:formula>
    </x:cfRule>
  </x:conditionalFormatting>
  <x:conditionalFormatting sqref="H37:H38">
    <x:cfRule type="expression" dxfId="3" priority="4">
      <x:formula>$B37="土"</x:formula>
    </x:cfRule>
    <x:cfRule type="expression" dxfId="3" priority="5">
      <x:formula>$B37="日"</x:formula>
    </x:cfRule>
    <x:cfRule type="timePeriod" dxfId="1" priority="6" timePeriod="lastMonth">
      <x:formula>AND(MONTH(H37)=MONTH(EDATE(TODAY(),0-1)),YEAR(H37)=YEAR(EDATE(TODAY(),0-1)))</x:formula>
    </x:cfRule>
  </x:conditionalFormatting>
  <x:conditionalFormatting sqref="I32:I33">
    <x:cfRule type="expression" dxfId="3" priority="142">
      <x:formula>$B32="土"</x:formula>
    </x:cfRule>
    <x:cfRule type="expression" dxfId="3" priority="143">
      <x:formula>$B32="日"</x:formula>
    </x:cfRule>
    <x:cfRule type="timePeriod" dxfId="1" priority="144" timePeriod="lastMonth">
      <x:formula>AND(MONTH(I32)=MONTH(EDATE(TODAY(),0-1)),YEAR(I32)=YEAR(EDATE(TODAY(),0-1)))</x:formula>
    </x:cfRule>
  </x:conditionalFormatting>
  <x:conditionalFormatting sqref="I37:I38">
    <x:cfRule type="expression" dxfId="3" priority="1">
      <x:formula>$B37="土"</x:formula>
    </x:cfRule>
    <x:cfRule type="expression" dxfId="3" priority="2">
      <x:formula>$B37="日"</x:formula>
    </x:cfRule>
    <x:cfRule type="timePeriod" dxfId="1" priority="3" timePeriod="lastMonth">
      <x:formula>AND(MONTH(I37)=MONTH(EDATE(TODAY(),0-1)),YEAR(I37)=YEAR(EDATE(TODAY(),0-1)))</x:formula>
    </x:cfRule>
  </x:conditionalFormatting>
  <x:conditionalFormatting sqref="I39:I40">
    <x:cfRule type="timePeriod" dxfId="1" priority="242" timePeriod="lastMonth">
      <x:formula>AND(MONTH(I39)=MONTH(EDATE(TODAY(),0-1)),YEAR(I39)=YEAR(EDATE(TODAY(),0-1)))</x:formula>
    </x:cfRule>
    <x:cfRule type="expression" dxfId="3" priority="243">
      <x:formula>$B39="土"</x:formula>
    </x:cfRule>
    <x:cfRule type="expression" dxfId="3" priority="244">
      <x:formula>$B39="日"</x:formula>
    </x:cfRule>
  </x:conditionalFormatting>
  <x:conditionalFormatting sqref="J32:J35">
    <x:cfRule type="expression" dxfId="3" priority="273">
      <x:formula>$B32="土"</x:formula>
    </x:cfRule>
    <x:cfRule type="expression" dxfId="3" priority="274">
      <x:formula>$B32="日"</x:formula>
    </x:cfRule>
    <x:cfRule type="timePeriod" dxfId="1" priority="275" timePeriod="lastMonth">
      <x:formula>AND(MONTH(J32)=MONTH(EDATE(TODAY(),0-1)),YEAR(J32)=YEAR(EDATE(TODAY(),0-1)))</x:formula>
    </x:cfRule>
  </x:conditionalFormatting>
  <x:conditionalFormatting sqref="K11:K12">
    <x:cfRule type="timePeriod" dxfId="1" priority="378" timePeriod="lastMonth">
      <x:formula>AND(MONTH(K11)=MONTH(EDATE(TODAY(),0-1)),YEAR(K11)=YEAR(EDATE(TODAY(),0-1)))</x:formula>
    </x:cfRule>
    <x:cfRule type="expression" dxfId="3" priority="379">
      <x:formula>WEEKDAY(K$10)=L$4</x:formula>
    </x:cfRule>
  </x:conditionalFormatting>
  <x:conditionalFormatting sqref="K13:K14">
    <x:cfRule type="expression" dxfId="3" priority="216">
      <x:formula>$B13="土"</x:formula>
    </x:cfRule>
    <x:cfRule type="expression" dxfId="3" priority="217">
      <x:formula>$B13="日"</x:formula>
    </x:cfRule>
    <x:cfRule type="timePeriod" dxfId="1" priority="218" timePeriod="lastMonth">
      <x:formula>AND(MONTH(K13)=MONTH(EDATE(TODAY(),0-1)),YEAR(K13)=YEAR(EDATE(TODAY(),0-1)))</x:formula>
    </x:cfRule>
  </x:conditionalFormatting>
  <x:conditionalFormatting sqref="K27:K28">
    <x:cfRule type="expression" dxfId="3" priority="210">
      <x:formula>$B27="土"</x:formula>
    </x:cfRule>
    <x:cfRule type="expression" dxfId="3" priority="211">
      <x:formula>$B27="日"</x:formula>
    </x:cfRule>
    <x:cfRule type="timePeriod" dxfId="1" priority="212" timePeriod="lastMonth">
      <x:formula>AND(MONTH(K27)=MONTH(EDATE(TODAY(),0-1)),YEAR(K27)=YEAR(EDATE(TODAY(),0-1)))</x:formula>
    </x:cfRule>
  </x:conditionalFormatting>
  <x:conditionalFormatting sqref="K32:K33">
    <x:cfRule type="timePeriod" dxfId="1" priority="271" timePeriod="lastMonth">
      <x:formula>AND(MONTH(K32)=MONTH(EDATE(TODAY(),0-1)),YEAR(K32)=YEAR(EDATE(TODAY(),0-1)))</x:formula>
    </x:cfRule>
    <x:cfRule type="expression" dxfId="3" priority="272">
      <x:formula>WEEKDAY(K$10)=L$4</x:formula>
    </x:cfRule>
  </x:conditionalFormatting>
  <x:conditionalFormatting sqref="K34:K35">
    <x:cfRule type="expression" dxfId="3" priority="207">
      <x:formula>$B34="土"</x:formula>
    </x:cfRule>
    <x:cfRule type="expression" dxfId="3" priority="208">
      <x:formula>$B34="日"</x:formula>
    </x:cfRule>
    <x:cfRule type="timePeriod" dxfId="1" priority="209" timePeriod="lastMonth">
      <x:formula>AND(MONTH(K34)=MONTH(EDATE(TODAY(),0-1)),YEAR(K34)=YEAR(EDATE(TODAY(),0-1)))</x:formula>
    </x:cfRule>
  </x:conditionalFormatting>
  <x:conditionalFormatting sqref="A10:B19 A24:B24 A21:B22 A39:B40">
    <x:cfRule type="expression" dxfId="3" priority="406">
      <x:formula>$B10="土"</x:formula>
    </x:cfRule>
    <x:cfRule type="expression" dxfId="3" priority="407">
      <x:formula>$B10="日"</x:formula>
    </x:cfRule>
  </x:conditionalFormatting>
  <x:conditionalFormatting sqref="B10:B19 B21:B22 B24:B40">
    <x:cfRule type="timePeriod" dxfId="1" priority="408" timePeriod="lastMonth">
      <x:formula>AND(MONTH(B10)=MONTH(EDATE(TODAY(),0-1)),YEAR(B10)=YEAR(EDATE(TODAY(),0-1)))</x:formula>
    </x:cfRule>
  </x:conditionalFormatting>
  <x:conditionalFormatting sqref="C10:C10 J10:J10">
    <x:cfRule type="expression" dxfId="3" priority="198">
      <x:formula>$B10="土"</x:formula>
    </x:cfRule>
    <x:cfRule type="expression" dxfId="3" priority="199">
      <x:formula>$B10="日"</x:formula>
    </x:cfRule>
  </x:conditionalFormatting>
  <x:conditionalFormatting sqref="C14:F15 D11:E13">
    <x:cfRule type="timePeriod" dxfId="1" priority="395" timePeriod="lastMonth">
      <x:formula>AND(MONTH(C11)=MONTH(EDATE(TODAY(),0-1)),YEAR(C11)=YEAR(EDATE(TODAY(),0-1)))</x:formula>
    </x:cfRule>
    <x:cfRule type="expression" dxfId="3" priority="396">
      <x:formula>$B11="土"</x:formula>
    </x:cfRule>
    <x:cfRule type="expression" dxfId="3" priority="397">
      <x:formula>$B11="日"</x:formula>
    </x:cfRule>
  </x:conditionalFormatting>
  <x:conditionalFormatting sqref="C11:C11 J11:J11">
    <x:cfRule type="expression" dxfId="3" priority="389">
      <x:formula>$B11="土"</x:formula>
    </x:cfRule>
    <x:cfRule type="expression" dxfId="3" priority="390">
      <x:formula>$B11="日"</x:formula>
    </x:cfRule>
  </x:conditionalFormatting>
  <x:conditionalFormatting sqref="H14:J14 J16:J16 J12:J13 I17:I17">
    <x:cfRule type="expression" dxfId="3" priority="392">
      <x:formula>$B12="土"</x:formula>
    </x:cfRule>
    <x:cfRule type="expression" dxfId="3" priority="393">
      <x:formula>$B12="日"</x:formula>
    </x:cfRule>
    <x:cfRule type="timePeriod" dxfId="1" priority="394" timePeriod="lastMonth">
      <x:formula>AND(MONTH(H12)=MONTH(EDATE(TODAY(),0-1)),YEAR(H12)=YEAR(EDATE(TODAY(),0-1)))</x:formula>
    </x:cfRule>
  </x:conditionalFormatting>
  <x:conditionalFormatting sqref="C17:F17 F18:F20">
    <x:cfRule type="timePeriod" dxfId="1" priority="187" timePeriod="lastMonth">
      <x:formula>AND(MONTH(C17)=MONTH(EDATE(TODAY(),0-1)),YEAR(C17)=YEAR(EDATE(TODAY(),0-1)))</x:formula>
    </x:cfRule>
    <x:cfRule type="expression" dxfId="3" priority="188">
      <x:formula>$B17="土"</x:formula>
    </x:cfRule>
    <x:cfRule type="expression" dxfId="3" priority="189">
      <x:formula>$B17="日"</x:formula>
    </x:cfRule>
  </x:conditionalFormatting>
  <x:conditionalFormatting sqref="H17:H17 J17:J17">
    <x:cfRule type="expression" dxfId="3" priority="386">
      <x:formula>$B17="土"</x:formula>
    </x:cfRule>
    <x:cfRule type="expression" dxfId="3" priority="387">
      <x:formula>$B17="日"</x:formula>
    </x:cfRule>
  </x:conditionalFormatting>
  <x:conditionalFormatting sqref="J17:J17 H17:H17">
    <x:cfRule type="timePeriod" dxfId="1" priority="388" timePeriod="lastMonth">
      <x:formula>AND(MONTH(H17)=MONTH(EDATE(TODAY(),0-1)),YEAR(H17)=YEAR(EDATE(TODAY(),0-1)))</x:formula>
    </x:cfRule>
  </x:conditionalFormatting>
  <x:conditionalFormatting sqref="C18:E19">
    <x:cfRule type="timePeriod" dxfId="1" priority="290" timePeriod="lastMonth">
      <x:formula>AND(MONTH(C18)=MONTH(EDATE(TODAY(),0-1)),YEAR(C18)=YEAR(EDATE(TODAY(),0-1)))</x:formula>
    </x:cfRule>
    <x:cfRule type="expression" dxfId="3" priority="291">
      <x:formula>$B18="土"</x:formula>
    </x:cfRule>
    <x:cfRule type="expression" dxfId="3" priority="292">
      <x:formula>$B18="日"</x:formula>
    </x:cfRule>
  </x:conditionalFormatting>
  <x:conditionalFormatting sqref="H21:H21 J18:J19 J21:J22">
    <x:cfRule type="expression" dxfId="3" priority="284">
      <x:formula>$B18="土"</x:formula>
    </x:cfRule>
    <x:cfRule type="expression" dxfId="3" priority="285">
      <x:formula>$B18="日"</x:formula>
    </x:cfRule>
    <x:cfRule type="timePeriod" dxfId="1" priority="286" timePeriod="lastMonth">
      <x:formula>AND(MONTH(H18)=MONTH(EDATE(TODAY(),0-1)),YEAR(H18)=YEAR(EDATE(TODAY(),0-1)))</x:formula>
    </x:cfRule>
  </x:conditionalFormatting>
  <x:conditionalFormatting sqref="K18:K19 K22:K22">
    <x:cfRule type="timePeriod" dxfId="1" priority="282" timePeriod="lastMonth">
      <x:formula>AND(MONTH(K18)=MONTH(EDATE(TODAY(),0-1)),YEAR(K18)=YEAR(EDATE(TODAY(),0-1)))</x:formula>
    </x:cfRule>
    <x:cfRule type="expression" dxfId="3" priority="283">
      <x:formula>WEEKDAY(K$10)=L$4</x:formula>
    </x:cfRule>
  </x:conditionalFormatting>
  <x:conditionalFormatting sqref="C25:F26 C29:F29">
    <x:cfRule type="timePeriod" dxfId="1" priority="262" timePeriod="lastMonth">
      <x:formula>AND(MONTH(C25)=MONTH(EDATE(TODAY(),0-1)),YEAR(C25)=YEAR(EDATE(TODAY(),0-1)))</x:formula>
    </x:cfRule>
    <x:cfRule type="expression" dxfId="3" priority="263">
      <x:formula>$B25="土"</x:formula>
    </x:cfRule>
    <x:cfRule type="expression" dxfId="3" priority="264">
      <x:formula>$B25="日"</x:formula>
    </x:cfRule>
  </x:conditionalFormatting>
  <x:conditionalFormatting sqref="G25:G26 G29:G29">
    <x:cfRule type="expression" dxfId="3" priority="259">
      <x:formula>$B25="土"</x:formula>
    </x:cfRule>
    <x:cfRule type="expression" dxfId="3" priority="260">
      <x:formula>$B25="日"</x:formula>
    </x:cfRule>
    <x:cfRule type="timePeriod" dxfId="1" priority="261" timePeriod="lastMonth">
      <x:formula>AND(MONTH(G25)=MONTH(EDATE(TODAY(),0-1)),YEAR(G25)=YEAR(EDATE(TODAY(),0-1)))</x:formula>
    </x:cfRule>
  </x:conditionalFormatting>
  <x:conditionalFormatting sqref="I25:J26 J27:J29">
    <x:cfRule type="timePeriod" dxfId="1" priority="298" timePeriod="lastMonth">
      <x:formula>AND(MONTH(I25)=MONTH(EDATE(TODAY(),0-1)),YEAR(I25)=YEAR(EDATE(TODAY(),0-1)))</x:formula>
    </x:cfRule>
    <x:cfRule type="expression" dxfId="3" priority="299">
      <x:formula>$B25="土"</x:formula>
    </x:cfRule>
    <x:cfRule type="expression" dxfId="3" priority="300">
      <x:formula>$B25="日"</x:formula>
    </x:cfRule>
  </x:conditionalFormatting>
  <x:conditionalFormatting sqref="K25:K26 K29:K29">
    <x:cfRule type="timePeriod" dxfId="1" priority="257" timePeriod="lastMonth">
      <x:formula>AND(MONTH(K25)=MONTH(EDATE(TODAY(),0-1)),YEAR(K25)=YEAR(EDATE(TODAY(),0-1)))</x:formula>
    </x:cfRule>
    <x:cfRule type="expression" dxfId="3" priority="258">
      <x:formula>WEEKDAY(K$10)=L$4</x:formula>
    </x:cfRule>
  </x:conditionalFormatting>
  <x:conditionalFormatting sqref="A30:B31 B27:B29">
    <x:cfRule type="expression" dxfId="3" priority="400">
      <x:formula>$B27="土"</x:formula>
    </x:cfRule>
    <x:cfRule type="expression" dxfId="3" priority="401">
      <x:formula>$B27="日"</x:formula>
    </x:cfRule>
  </x:conditionalFormatting>
  <x:conditionalFormatting sqref="A32:B33">
    <x:cfRule type="expression" dxfId="3" priority="402">
      <x:formula>$B32="土"</x:formula>
    </x:cfRule>
    <x:cfRule type="expression" dxfId="3" priority="403">
      <x:formula>$B32="日"</x:formula>
    </x:cfRule>
  </x:conditionalFormatting>
  <x:conditionalFormatting sqref="C32:F33">
    <x:cfRule type="timePeriod" dxfId="1" priority="279" timePeriod="lastMonth">
      <x:formula>AND(MONTH(C32)=MONTH(EDATE(TODAY(),0-1)),YEAR(C32)=YEAR(EDATE(TODAY(),0-1)))</x:formula>
    </x:cfRule>
    <x:cfRule type="expression" dxfId="3" priority="280">
      <x:formula>$B32="土"</x:formula>
    </x:cfRule>
    <x:cfRule type="expression" dxfId="3" priority="281">
      <x:formula>$B32="日"</x:formula>
    </x:cfRule>
  </x:conditionalFormatting>
  <x:conditionalFormatting sqref="A34:B38">
    <x:cfRule type="expression" dxfId="3" priority="398">
      <x:formula>$B34="土"</x:formula>
    </x:cfRule>
    <x:cfRule type="expression" dxfId="3" priority="399">
      <x:formula>$B34="日"</x:formula>
    </x:cfRule>
  </x:conditionalFormatting>
  <x:conditionalFormatting sqref="C37:F38">
    <x:cfRule type="timePeriod" dxfId="1" priority="10" timePeriod="lastMonth">
      <x:formula>AND(MONTH(C37)=MONTH(EDATE(TODAY(),0-1)),YEAR(C37)=YEAR(EDATE(TODAY(),0-1)))</x:formula>
    </x:cfRule>
    <x:cfRule type="expression" dxfId="3" priority="11">
      <x:formula>$B37="土"</x:formula>
    </x:cfRule>
    <x:cfRule type="expression" dxfId="3" priority="12">
      <x:formula>$B37="日"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399999618530273"/>
  <x:cols>
    <x:col min="1" max="1" width="19.13888931274414" style="49" customWidth="1"/>
    <x:col min="2" max="2" width="4.287036895751953" style="49" customWidth="1"/>
    <x:col min="3" max="7" width="14.13888931274414" style="49" customWidth="1"/>
    <x:col min="8" max="8" width="15.712963104248047" style="49" customWidth="1"/>
    <x:col min="9" max="9" width="50.28703689575195" style="49" customWidth="1"/>
    <x:col min="10" max="10" width="17.425926208496094" style="49" customWidth="1"/>
    <x:col min="11" max="11" width="23.13888931274414" style="49" customWidth="1"/>
    <x:col min="12" max="16384" width="9.13888931274414" style="49" customWidth="0"/>
  </x:cols>
  <x:sheetData>
    <x:row r="5">
      <x:c r="A5" s="49" t="s">
        <x:v>27</x:v>
      </x:c>
      <x:c r="B5" s="49">
        <x:v>5</x:v>
      </x:c>
    </x:row>
    <x:row r="7">
      <x:c r="A7" s="49">
        <x:v>2026</x:v>
      </x:c>
      <x:c r="B7" s="49">
        <x:v>6</x:v>
      </x:c>
    </x:row>
    <x:row r="8">
      <x:c r="F8" s="50"/>
    </x:row>
    <x:row r="9" s="47" customFormat="1">
      <x:c r="A9" s="51"/>
      <x:c r="B9" s="51"/>
      <x:c r="C9" s="52" t="s">
        <x:v>10</x:v>
      </x:c>
      <x:c r="D9" s="52" t="s">
        <x:v>11</x:v>
      </x:c>
      <x:c r="E9" s="52" t="s">
        <x:v>12</x:v>
      </x:c>
      <x:c r="F9" s="52" t="s">
        <x:v>13</x:v>
      </x:c>
      <x:c r="G9" s="52" t="s">
        <x:v>14</x:v>
      </x:c>
      <x:c r="H9" s="52" t="s">
        <x:v>15</x:v>
      </x:c>
      <x:c r="I9" s="52" t="s">
        <x:v>16</x:v>
      </x:c>
      <x:c r="J9" s="52" t="s">
        <x:v>17</x:v>
      </x:c>
      <x:c r="K9" s="52" t="s">
        <x:v>18</x:v>
      </x:c>
    </x:row>
    <x:row r="10" ht="16.799999237060547">
      <x:c r="A10" s="53" t="n">
        <x:f>DATE(A7,B7,1)</x:f>
        <x:v>46174</x:v>
      </x:c>
      <x:c r="B10" s="54" t="str">
        <x:f t="shared" ref="B10:B39" si="0">TEXT(A10,"ddd")</x:f>
        <x:v>Mon</x:v>
      </x:c>
      <x:c r="C10" s="55">
        <x:v>0.333333333333333</x:v>
      </x:c>
      <x:c r="D10" s="55">
        <x:v>0.708333333333333</x:v>
      </x:c>
      <x:c r="E10" s="55">
        <x:v>0.0416666666666667</x:v>
      </x:c>
      <x:c r="F10" s="56" t="n">
        <x:f t="shared" ref="F10:F14" si="1">D10-C10-E10</x:f>
        <x:v>0.33333333333333337</x:v>
      </x:c>
      <x:c r="G10" s="57">
        <x:v>0.333333333333333</x:v>
      </x:c>
      <x:c r="H10" s="58" t="s">
        <x:v>28</x:v>
      </x:c>
      <x:c r="I10" s="54" t="s">
        <x:v>29</x:v>
      </x:c>
      <x:c r="J10" s="54"/>
      <x:c r="K10" s="69"/>
    </x:row>
    <x:row r="11" ht="16.799999237060547">
      <x:c r="A11" s="53" t="n">
        <x:f t="shared" ref="A11:A39" si="2">A10+1</x:f>
        <x:v>46175</x:v>
      </x:c>
      <x:c r="B11" s="54" t="str">
        <x:f t="shared" si="0"/>
        <x:v>Tue</x:v>
      </x:c>
      <x:c r="C11" s="55">
        <x:v>0.333333333333333</x:v>
      </x:c>
      <x:c r="D11" s="55">
        <x:v>0.791666666666667</x:v>
      </x:c>
      <x:c r="E11" s="55">
        <x:v>0.0833333333333333</x:v>
      </x:c>
      <x:c r="F11" s="56">
        <x:f t="shared" si="1"/>
        <x:v>0.375</x:v>
      </x:c>
      <x:c r="G11" s="57">
        <x:v>0.375</x:v>
      </x:c>
      <x:c r="H11" s="58" t="s">
        <x:v>20</x:v>
      </x:c>
      <x:c r="I11" s="54" t="s">
        <x:v>22</x:v>
      </x:c>
      <x:c r="J11" s="54"/>
      <x:c r="K11" s="69"/>
    </x:row>
    <x:row r="12" ht="16.799999237060547">
      <x:c r="A12" s="53">
        <x:f t="shared" si="2"/>
        <x:v>46176</x:v>
      </x:c>
      <x:c r="B12" s="54" t="str">
        <x:f t="shared" si="0"/>
        <x:v>Wed</x:v>
      </x:c>
      <x:c r="C12" s="55">
        <x:v>0.333333333333333</x:v>
      </x:c>
      <x:c r="D12" s="55">
        <x:v>0.708333333333333</x:v>
      </x:c>
      <x:c r="E12" s="55">
        <x:v>0.0416666666666667</x:v>
      </x:c>
      <x:c r="F12" s="56">
        <x:f t="shared" si="1"/>
        <x:v>0.333333333333333</x:v>
      </x:c>
      <x:c r="G12" s="57">
        <x:v>0.333333333333333</x:v>
      </x:c>
      <x:c r="H12" s="58" t="s">
        <x:v>28</x:v>
      </x:c>
      <x:c r="I12" s="54" t="s">
        <x:v>29</x:v>
      </x:c>
      <x:c r="J12" s="55"/>
      <x:c r="K12" s="69"/>
    </x:row>
    <x:row r="13" ht="16.799999237060547">
      <x:c r="A13" s="53">
        <x:f t="shared" si="2"/>
        <x:v>46177</x:v>
      </x:c>
      <x:c r="B13" s="54" t="str">
        <x:f t="shared" si="0"/>
        <x:v>Thu</x:v>
      </x:c>
      <x:c r="C13" s="55">
        <x:v>0.333333333333333</x:v>
      </x:c>
      <x:c r="D13" s="55">
        <x:v>0.708333333333333</x:v>
      </x:c>
      <x:c r="E13" s="55">
        <x:v>0.0416666666666667</x:v>
      </x:c>
      <x:c r="F13" s="56">
        <x:f t="shared" si="1"/>
        <x:v>0.333333333333333</x:v>
      </x:c>
      <x:c r="G13" s="57">
        <x:v>0.333333333333333</x:v>
      </x:c>
      <x:c r="H13" s="58" t="s">
        <x:v>28</x:v>
      </x:c>
      <x:c r="I13" s="54" t="s">
        <x:v>29</x:v>
      </x:c>
      <x:c r="J13" s="55"/>
      <x:c r="K13" s="54"/>
    </x:row>
    <x:row r="14">
      <x:c r="A14" s="53">
        <x:f t="shared" si="2"/>
        <x:v>46178</x:v>
      </x:c>
      <x:c r="B14" s="54" t="str">
        <x:f t="shared" si="0"/>
        <x:v>Fri</x:v>
      </x:c>
      <x:c r="C14" s="55">
        <x:v>0.333333333333333</x:v>
      </x:c>
      <x:c r="D14" s="55">
        <x:v>0.708333333333333</x:v>
      </x:c>
      <x:c r="E14" s="55">
        <x:v>0.0416666666666667</x:v>
      </x:c>
      <x:c r="F14" s="56">
        <x:f t="shared" si="1"/>
        <x:v>0.333333333333333</x:v>
      </x:c>
      <x:c r="G14" s="57">
        <x:v>0.333333333333333</x:v>
      </x:c>
      <x:c r="H14" s="54" t="s">
        <x:v>20</x:v>
      </x:c>
      <x:c r="I14" s="54" t="s">
        <x:v>21</x:v>
      </x:c>
      <x:c r="J14" s="55"/>
      <x:c r="K14" s="54"/>
    </x:row>
    <x:row r="15" s="48" customFormat="1" ht="16.799999237060547">
      <x:c r="A15" s="59">
        <x:f t="shared" si="2"/>
        <x:v>46179</x:v>
      </x:c>
      <x:c r="B15" s="60" t="str">
        <x:f t="shared" si="0"/>
        <x:v>Sat</x:v>
      </x:c>
      <x:c r="C15" s="61"/>
      <x:c r="D15" s="61"/>
      <x:c r="E15" s="61"/>
      <x:c r="F15" s="61"/>
      <x:c r="G15" s="62"/>
      <x:c r="H15" s="63"/>
      <x:c r="I15" s="60"/>
      <x:c r="J15" s="61"/>
      <x:c r="K15" s="70"/>
    </x:row>
    <x:row r="16" s="48" customFormat="1" ht="16.799999237060547">
      <x:c r="A16" s="59">
        <x:f t="shared" si="2"/>
        <x:v>46180</x:v>
      </x:c>
      <x:c r="B16" s="60" t="str">
        <x:f t="shared" si="0"/>
        <x:v>Sun</x:v>
      </x:c>
      <x:c r="C16" s="61"/>
      <x:c r="D16" s="61"/>
      <x:c r="E16" s="61"/>
      <x:c r="F16" s="61"/>
      <x:c r="G16" s="62"/>
      <x:c r="H16" s="63"/>
      <x:c r="I16" s="60"/>
      <x:c r="J16" s="61"/>
      <x:c r="K16" s="71"/>
    </x:row>
    <x:row r="17" s="48" customFormat="1">
      <x:c r="A17" s="53">
        <x:f t="shared" si="2"/>
        <x:v>46181</x:v>
      </x:c>
      <x:c r="B17" s="54" t="str">
        <x:f t="shared" si="0"/>
        <x:v>Mon</x:v>
      </x:c>
      <x:c r="C17" s="55">
        <x:v>0.333333333333333</x:v>
      </x:c>
      <x:c r="D17" s="55">
        <x:v>0.708333333333333</x:v>
      </x:c>
      <x:c r="E17" s="55">
        <x:v>0.0416666666666667</x:v>
      </x:c>
      <x:c r="F17" s="56" t="n">
        <x:f>D17-C17-E17</x:f>
        <x:v>0.33333333333333337</x:v>
      </x:c>
      <x:c r="G17" s="57">
        <x:v>0.333333333333333</x:v>
      </x:c>
      <x:c r="H17" s="54" t="s">
        <x:v>20</x:v>
      </x:c>
      <x:c r="I17" s="54" t="s">
        <x:v>21</x:v>
      </x:c>
      <x:c r="J17" s="54"/>
      <x:c r="K17" s="72"/>
    </x:row>
    <x:row r="18" s="48" customFormat="1" ht="16.799999237060547">
      <x:c r="A18" s="53">
        <x:f t="shared" si="2"/>
        <x:v>46182</x:v>
      </x:c>
      <x:c r="B18" s="54" t="str">
        <x:f t="shared" si="0"/>
        <x:v>Tue</x:v>
      </x:c>
      <x:c r="C18" s="55">
        <x:v>0.333333333333333</x:v>
      </x:c>
      <x:c r="D18" s="55">
        <x:v>0.708333333333333</x:v>
      </x:c>
      <x:c r="E18" s="55">
        <x:v>0.0416666666666667</x:v>
      </x:c>
      <x:c r="F18" s="56" t="n">
        <x:f t="shared" ref="F18:F20" si="3">D18-C18-E18</x:f>
        <x:v>0.33333333333333337</x:v>
      </x:c>
      <x:c r="G18" s="57">
        <x:v>0.333333333333333</x:v>
      </x:c>
      <x:c r="H18" s="58" t="s">
        <x:v>28</x:v>
      </x:c>
      <x:c r="I18" s="54" t="s">
        <x:v>29</x:v>
      </x:c>
      <x:c r="J18" s="55"/>
      <x:c r="K18" s="69"/>
    </x:row>
    <x:row r="19" s="48" customFormat="1" ht="16.799999237060547">
      <x:c r="A19" s="53">
        <x:f t="shared" si="2"/>
        <x:v>46183</x:v>
      </x:c>
      <x:c r="B19" s="54" t="str">
        <x:f t="shared" si="0"/>
        <x:v>Wed</x:v>
      </x:c>
      <x:c r="C19" s="55">
        <x:v>0.333333333333333</x:v>
      </x:c>
      <x:c r="D19" s="55">
        <x:v>0.708333333333333</x:v>
      </x:c>
      <x:c r="E19" s="55">
        <x:v>0.0416666666666667</x:v>
      </x:c>
      <x:c r="F19" s="56">
        <x:f t="shared" si="3"/>
        <x:v>0.333333333333333</x:v>
      </x:c>
      <x:c r="G19" s="57">
        <x:v>0.333333333333333</x:v>
      </x:c>
      <x:c r="H19" s="58" t="s">
        <x:v>28</x:v>
      </x:c>
      <x:c r="I19" s="54" t="s">
        <x:v>29</x:v>
      </x:c>
      <x:c r="J19" s="55"/>
      <x:c r="K19" s="69"/>
    </x:row>
    <x:row r="20" s="48" customFormat="1">
      <x:c r="A20" s="53">
        <x:f t="shared" si="2"/>
        <x:v>46184</x:v>
      </x:c>
      <x:c r="B20" s="54" t="str">
        <x:f t="shared" si="0"/>
        <x:v>Thu</x:v>
      </x:c>
      <x:c r="C20" s="55">
        <x:v>0.333333333333333</x:v>
      </x:c>
      <x:c r="D20" s="55">
        <x:v>0.708333333333333</x:v>
      </x:c>
      <x:c r="E20" s="55">
        <x:v>0.0416666666666667</x:v>
      </x:c>
      <x:c r="F20" s="56">
        <x:f t="shared" si="3"/>
        <x:v>0.333333333333333</x:v>
      </x:c>
      <x:c r="G20" s="57">
        <x:v>0.333333333333333</x:v>
      </x:c>
      <x:c r="H20" s="54" t="s">
        <x:v>20</x:v>
      </x:c>
      <x:c r="I20" s="54" t="s">
        <x:v>22</x:v>
      </x:c>
      <x:c r="J20" s="55"/>
      <x:c r="K20" s="54"/>
    </x:row>
    <x:row r="21" s="48" customFormat="1">
      <x:c r="A21" s="64">
        <x:f t="shared" si="2"/>
        <x:v>46185</x:v>
      </x:c>
      <x:c r="B21" s="29" t="str">
        <x:f t="shared" si="0"/>
        <x:v>Fri</x:v>
      </x:c>
      <x:c r="C21" s="55">
        <x:v>0.333333333333333</x:v>
      </x:c>
      <x:c r="D21" s="55">
        <x:v>0.708333333333333</x:v>
      </x:c>
      <x:c r="E21" s="55">
        <x:v>0.0416666666666667</x:v>
      </x:c>
      <x:c r="F21" s="56" t="n">
        <x:f t="shared" ref="F21" si="4">D21-C21-E21</x:f>
        <x:v>0.33333333333333337</x:v>
      </x:c>
      <x:c r="G21" s="57">
        <x:v>0.333333333333333</x:v>
      </x:c>
      <x:c r="H21" s="54" t="s">
        <x:v>20</x:v>
      </x:c>
      <x:c r="I21" s="54" t="s">
        <x:v>22</x:v>
      </x:c>
      <x:c r="J21" s="14"/>
      <x:c r="K21" s="29"/>
    </x:row>
    <x:row r="22" s="48" customFormat="1">
      <x:c r="A22" s="65">
        <x:f t="shared" si="2"/>
        <x:v>46186</x:v>
      </x:c>
      <x:c r="B22" s="66" t="str">
        <x:f t="shared" si="0"/>
        <x:v>Sat</x:v>
      </x:c>
      <x:c r="C22" s="67"/>
      <x:c r="D22" s="67"/>
      <x:c r="E22" s="67"/>
      <x:c r="F22" s="67"/>
      <x:c r="G22" s="68"/>
      <x:c r="H22" s="66"/>
      <x:c r="I22" s="66"/>
      <x:c r="J22" s="67"/>
      <x:c r="K22" s="73"/>
    </x:row>
    <x:row r="23" s="48" customFormat="1">
      <x:c r="A23" s="65">
        <x:f t="shared" si="2"/>
        <x:v>46187</x:v>
      </x:c>
      <x:c r="B23" s="66" t="str">
        <x:f t="shared" si="0"/>
        <x:v>Sun</x:v>
      </x:c>
      <x:c r="C23" s="67"/>
      <x:c r="D23" s="67"/>
      <x:c r="E23" s="67"/>
      <x:c r="F23" s="67"/>
      <x:c r="G23" s="68"/>
      <x:c r="H23" s="66"/>
      <x:c r="I23" s="66"/>
      <x:c r="J23" s="67"/>
      <x:c r="K23" s="73"/>
    </x:row>
    <x:row r="24" s="48" customFormat="1">
      <x:c r="A24" s="53">
        <x:f t="shared" si="2"/>
        <x:v>46188</x:v>
      </x:c>
      <x:c r="B24" s="54" t="str">
        <x:f t="shared" si="0"/>
        <x:v>Mon</x:v>
      </x:c>
      <x:c r="C24" s="55">
        <x:v>0.333333333333333</x:v>
      </x:c>
      <x:c r="D24" s="55">
        <x:v>0.708333333333333</x:v>
      </x:c>
      <x:c r="E24" s="55">
        <x:v>0.0416666666666667</x:v>
      </x:c>
      <x:c r="F24" s="56" t="n">
        <x:f t="shared" ref="F24:F28" si="5">D24-C24-E24</x:f>
        <x:v>0.33333333333333337</x:v>
      </x:c>
      <x:c r="G24" s="57">
        <x:v>0.333333333333333</x:v>
      </x:c>
      <x:c r="H24" s="54" t="s">
        <x:v>20</x:v>
      </x:c>
      <x:c r="I24" s="54" t="s">
        <x:v>22</x:v>
      </x:c>
      <x:c r="J24" s="55"/>
      <x:c r="K24" s="69"/>
    </x:row>
    <x:row r="25" s="48" customFormat="1">
      <x:c r="A25" s="53">
        <x:f t="shared" si="2"/>
        <x:v>46189</x:v>
      </x:c>
      <x:c r="B25" s="54" t="str">
        <x:f t="shared" si="0"/>
        <x:v>Tue</x:v>
      </x:c>
      <x:c r="C25" s="55">
        <x:v>0.333333333333333</x:v>
      </x:c>
      <x:c r="D25" s="55">
        <x:v>0.708333333333333</x:v>
      </x:c>
      <x:c r="E25" s="55">
        <x:v>0.0416666666666667</x:v>
      </x:c>
      <x:c r="F25" s="56">
        <x:f t="shared" si="5"/>
        <x:v>0.333333333333333</x:v>
      </x:c>
      <x:c r="G25" s="57">
        <x:v>0.333333333333333</x:v>
      </x:c>
      <x:c r="H25" s="54" t="s">
        <x:v>20</x:v>
      </x:c>
      <x:c r="I25" s="54" t="s">
        <x:v>22</x:v>
      </x:c>
      <x:c r="J25" s="55"/>
      <x:c r="K25" s="69"/>
    </x:row>
    <x:row r="26" s="48" customFormat="1" ht="16.799999237060547">
      <x:c r="A26" s="53">
        <x:f t="shared" si="2"/>
        <x:v>46190</x:v>
      </x:c>
      <x:c r="B26" s="54" t="str">
        <x:f t="shared" si="0"/>
        <x:v>Wed</x:v>
      </x:c>
      <x:c r="C26" s="55">
        <x:v>0.333333333333333</x:v>
      </x:c>
      <x:c r="D26" s="55">
        <x:v>0.708333333333333</x:v>
      </x:c>
      <x:c r="E26" s="55">
        <x:v>0.0416666666666667</x:v>
      </x:c>
      <x:c r="F26" s="56">
        <x:f t="shared" si="5"/>
        <x:v>0.333333333333333</x:v>
      </x:c>
      <x:c r="G26" s="57">
        <x:v>0.333333333333333</x:v>
      </x:c>
      <x:c r="H26" s="58" t="s">
        <x:v>20</x:v>
      </x:c>
      <x:c r="I26" s="54" t="s">
        <x:v>22</x:v>
      </x:c>
      <x:c r="J26" s="55"/>
      <x:c r="K26" s="69"/>
    </x:row>
    <x:row r="27" s="48" customFormat="1" ht="16.799999237060547">
      <x:c r="A27" s="53">
        <x:f t="shared" si="2"/>
        <x:v>46191</x:v>
      </x:c>
      <x:c r="B27" s="54" t="str">
        <x:f t="shared" si="0"/>
        <x:v>Thu</x:v>
      </x:c>
      <x:c r="C27" s="55">
        <x:v>0.333333333333333</x:v>
      </x:c>
      <x:c r="D27" s="55">
        <x:v>0.708333333333333</x:v>
      </x:c>
      <x:c r="E27" s="55">
        <x:v>0.0416666666666667</x:v>
      </x:c>
      <x:c r="F27" s="56">
        <x:f t="shared" si="5"/>
        <x:v>0.333333333333333</x:v>
      </x:c>
      <x:c r="G27" s="57">
        <x:v>0.333333333333333</x:v>
      </x:c>
      <x:c r="H27" s="58" t="s">
        <x:v>20</x:v>
      </x:c>
      <x:c r="I27" s="54" t="s">
        <x:v>22</x:v>
      </x:c>
      <x:c r="J27" s="55"/>
      <x:c r="K27" s="54"/>
    </x:row>
    <x:row r="28" s="48" customFormat="1" ht="16.799999237060547">
      <x:c r="A28" s="53">
        <x:f t="shared" si="2"/>
        <x:v>46192</x:v>
      </x:c>
      <x:c r="B28" s="54" t="str">
        <x:f t="shared" si="0"/>
        <x:v>Fri</x:v>
      </x:c>
      <x:c r="C28" s="55">
        <x:v>0.333333333333333</x:v>
      </x:c>
      <x:c r="D28" s="55">
        <x:v>0.708333333333333</x:v>
      </x:c>
      <x:c r="E28" s="55">
        <x:v>0.0416666666666667</x:v>
      </x:c>
      <x:c r="F28" s="56">
        <x:f t="shared" si="5"/>
        <x:v>0.333333333333333</x:v>
      </x:c>
      <x:c r="G28" s="57">
        <x:v>0.333333333333333</x:v>
      </x:c>
      <x:c r="H28" s="58" t="s">
        <x:v>20</x:v>
      </x:c>
      <x:c r="I28" s="54" t="s">
        <x:v>22</x:v>
      </x:c>
      <x:c r="J28" s="55"/>
      <x:c r="K28" s="54"/>
    </x:row>
    <x:row r="29" s="48" customFormat="1">
      <x:c r="A29" s="65">
        <x:f t="shared" si="2"/>
        <x:v>46193</x:v>
      </x:c>
      <x:c r="B29" s="66" t="str">
        <x:f t="shared" si="0"/>
        <x:v>Sat</x:v>
      </x:c>
      <x:c r="C29" s="67"/>
      <x:c r="D29" s="67"/>
      <x:c r="E29" s="67"/>
      <x:c r="F29" s="67"/>
      <x:c r="G29" s="68"/>
      <x:c r="H29" s="66"/>
      <x:c r="I29" s="66"/>
      <x:c r="J29" s="67"/>
      <x:c r="K29" s="73"/>
    </x:row>
    <x:row r="30" s="48" customFormat="1">
      <x:c r="A30" s="65">
        <x:f t="shared" si="2"/>
        <x:v>46194</x:v>
      </x:c>
      <x:c r="B30" s="66" t="str">
        <x:f t="shared" si="0"/>
        <x:v>Sun</x:v>
      </x:c>
      <x:c r="C30" s="67"/>
      <x:c r="D30" s="67"/>
      <x:c r="E30" s="67"/>
      <x:c r="F30" s="67"/>
      <x:c r="G30" s="68"/>
      <x:c r="H30" s="66"/>
      <x:c r="I30" s="66"/>
      <x:c r="J30" s="67"/>
      <x:c r="K30" s="73"/>
    </x:row>
    <x:row r="31" s="48" customFormat="1" ht="16.799999237060547">
      <x:c r="A31" s="53">
        <x:f t="shared" si="2"/>
        <x:v>46195</x:v>
      </x:c>
      <x:c r="B31" s="54" t="str">
        <x:f t="shared" si="0"/>
        <x:v>Mon</x:v>
      </x:c>
      <x:c r="C31" s="55">
        <x:v>0.333333333333333</x:v>
      </x:c>
      <x:c r="D31" s="55">
        <x:v>0.708333333333333</x:v>
      </x:c>
      <x:c r="E31" s="55">
        <x:v>0.0416666666666667</x:v>
      </x:c>
      <x:c r="F31" s="56" t="n">
        <x:f t="shared" ref="F31:F35" si="6">D31-C31-E31</x:f>
        <x:v>0.33333333333333337</x:v>
      </x:c>
      <x:c r="G31" s="57">
        <x:v>0.333333333333333</x:v>
      </x:c>
      <x:c r="H31" s="58" t="s">
        <x:v>28</x:v>
      </x:c>
      <x:c r="I31" s="54" t="s">
        <x:v>29</x:v>
      </x:c>
      <x:c r="J31" s="55"/>
      <x:c r="K31" s="69"/>
    </x:row>
    <x:row r="32" s="48" customFormat="1" ht="16.799999237060547">
      <x:c r="A32" s="53">
        <x:f t="shared" si="2"/>
        <x:v>46196</x:v>
      </x:c>
      <x:c r="B32" s="54" t="str">
        <x:f t="shared" si="0"/>
        <x:v>Tue</x:v>
      </x:c>
      <x:c r="C32" s="55">
        <x:v>0.333333333333333</x:v>
      </x:c>
      <x:c r="D32" s="55">
        <x:v>0.708333333333333</x:v>
      </x:c>
      <x:c r="E32" s="55">
        <x:v>0.0416666666666667</x:v>
      </x:c>
      <x:c r="F32" s="56">
        <x:f t="shared" si="6"/>
        <x:v>0.333333333333333</x:v>
      </x:c>
      <x:c r="G32" s="57">
        <x:v>0.333333333333333</x:v>
      </x:c>
      <x:c r="H32" s="58" t="s">
        <x:v>28</x:v>
      </x:c>
      <x:c r="I32" s="54" t="s">
        <x:v>29</x:v>
      </x:c>
      <x:c r="J32" s="55"/>
      <x:c r="K32" s="69"/>
    </x:row>
    <x:row r="33" s="48" customFormat="1" ht="16.799999237060547">
      <x:c r="A33" s="53">
        <x:f t="shared" si="2"/>
        <x:v>46197</x:v>
      </x:c>
      <x:c r="B33" s="54" t="str">
        <x:f t="shared" si="0"/>
        <x:v>Wed</x:v>
      </x:c>
      <x:c r="C33" s="55">
        <x:v>0.333333333333333</x:v>
      </x:c>
      <x:c r="D33" s="55">
        <x:v>0.708333333333333</x:v>
      </x:c>
      <x:c r="E33" s="55">
        <x:v>0.0416666666666667</x:v>
      </x:c>
      <x:c r="F33" s="56">
        <x:f t="shared" si="6"/>
        <x:v>0.333333333333333</x:v>
      </x:c>
      <x:c r="G33" s="57">
        <x:v>0.333333333333333</x:v>
      </x:c>
      <x:c r="H33" s="58" t="s">
        <x:v>28</x:v>
      </x:c>
      <x:c r="I33" s="54" t="s">
        <x:v>29</x:v>
      </x:c>
      <x:c r="J33" s="55"/>
      <x:c r="K33" s="69"/>
    </x:row>
    <x:row r="34" s="48" customFormat="1" ht="16.799999237060547">
      <x:c r="A34" s="53">
        <x:f t="shared" si="2"/>
        <x:v>46198</x:v>
      </x:c>
      <x:c r="B34" s="54" t="str">
        <x:f t="shared" si="0"/>
        <x:v>Thu</x:v>
      </x:c>
      <x:c r="C34" s="55">
        <x:v>0.333333333333333</x:v>
      </x:c>
      <x:c r="D34" s="55">
        <x:v>0.708333333333333</x:v>
      </x:c>
      <x:c r="E34" s="55">
        <x:v>0.0416666666666667</x:v>
      </x:c>
      <x:c r="F34" s="56">
        <x:f t="shared" si="6"/>
        <x:v>0.333333333333333</x:v>
      </x:c>
      <x:c r="G34" s="57">
        <x:v>0.333333333333333</x:v>
      </x:c>
      <x:c r="H34" s="58" t="s">
        <x:v>28</x:v>
      </x:c>
      <x:c r="I34" s="54" t="s">
        <x:v>29</x:v>
      </x:c>
      <x:c r="J34" s="55"/>
      <x:c r="K34" s="54"/>
    </x:row>
    <x:row r="35" s="48" customFormat="1" ht="16.799999237060547">
      <x:c r="A35" s="53">
        <x:f t="shared" si="2"/>
        <x:v>46199</x:v>
      </x:c>
      <x:c r="B35" s="54" t="str">
        <x:f t="shared" si="0"/>
        <x:v>Fri</x:v>
      </x:c>
      <x:c r="C35" s="55">
        <x:v>0.333333333333333</x:v>
      </x:c>
      <x:c r="D35" s="55">
        <x:v>0.708333333333333</x:v>
      </x:c>
      <x:c r="E35" s="55">
        <x:v>0.0416666666666667</x:v>
      </x:c>
      <x:c r="F35" s="56">
        <x:f t="shared" si="6"/>
        <x:v>0.333333333333333</x:v>
      </x:c>
      <x:c r="G35" s="57">
        <x:v>0.333333333333333</x:v>
      </x:c>
      <x:c r="H35" s="58" t="s">
        <x:v>28</x:v>
      </x:c>
      <x:c r="I35" s="54" t="s">
        <x:v>29</x:v>
      </x:c>
      <x:c r="J35" s="55"/>
      <x:c r="K35" s="54"/>
    </x:row>
    <x:row r="36" s="48" customFormat="1">
      <x:c r="A36" s="65">
        <x:f t="shared" si="2"/>
        <x:v>46200</x:v>
      </x:c>
      <x:c r="B36" s="66" t="str">
        <x:f t="shared" si="0"/>
        <x:v>Sat</x:v>
      </x:c>
      <x:c r="C36" s="67"/>
      <x:c r="D36" s="67"/>
      <x:c r="E36" s="67"/>
      <x:c r="F36" s="67"/>
      <x:c r="G36" s="68"/>
      <x:c r="H36" s="66"/>
      <x:c r="I36" s="66"/>
      <x:c r="J36" s="67"/>
      <x:c r="K36" s="73"/>
    </x:row>
    <x:row r="37" s="48" customFormat="1">
      <x:c r="A37" s="65">
        <x:f t="shared" si="2"/>
        <x:v>46201</x:v>
      </x:c>
      <x:c r="B37" s="66" t="str">
        <x:f t="shared" si="0"/>
        <x:v>Sun</x:v>
      </x:c>
      <x:c r="C37" s="67"/>
      <x:c r="D37" s="67"/>
      <x:c r="E37" s="67"/>
      <x:c r="F37" s="67"/>
      <x:c r="G37" s="68"/>
      <x:c r="H37" s="66"/>
      <x:c r="I37" s="66"/>
      <x:c r="J37" s="67"/>
      <x:c r="K37" s="73"/>
    </x:row>
    <x:row r="38" s="48" customFormat="1" ht="16.799999237060547">
      <x:c r="A38" s="53">
        <x:f t="shared" si="2"/>
        <x:v>46202</x:v>
      </x:c>
      <x:c r="B38" s="54" t="str">
        <x:f t="shared" si="0"/>
        <x:v>Mon</x:v>
      </x:c>
      <x:c r="C38" s="55">
        <x:v>0.333333333333333</x:v>
      </x:c>
      <x:c r="D38" s="55">
        <x:v>0.708333333333333</x:v>
      </x:c>
      <x:c r="E38" s="55">
        <x:v>0.0416666666666667</x:v>
      </x:c>
      <x:c r="F38" s="56" t="n">
        <x:f t="shared" ref="F38:F39" si="7">D38-C38-E38</x:f>
        <x:v>0.33333333333333337</x:v>
      </x:c>
      <x:c r="G38" s="57">
        <x:v>0.333333333333333</x:v>
      </x:c>
      <x:c r="H38" s="58" t="s">
        <x:v>28</x:v>
      </x:c>
      <x:c r="I38" s="54" t="s">
        <x:v>29</x:v>
      </x:c>
      <x:c r="J38" s="55"/>
      <x:c r="K38" s="69"/>
    </x:row>
    <x:row r="39" s="48" customFormat="1" ht="16.799999237060547">
      <x:c r="A39" s="53">
        <x:f t="shared" si="2"/>
        <x:v>46203</x:v>
      </x:c>
      <x:c r="B39" s="54" t="str">
        <x:f t="shared" si="0"/>
        <x:v>Tue</x:v>
      </x:c>
      <x:c r="C39" s="55">
        <x:v>0.333333333333333</x:v>
      </x:c>
      <x:c r="D39" s="55">
        <x:v>0.708333333333333</x:v>
      </x:c>
      <x:c r="E39" s="55">
        <x:v>0.0416666666666667</x:v>
      </x:c>
      <x:c r="F39" s="56">
        <x:f t="shared" si="7"/>
        <x:v>0.333333333333333</x:v>
      </x:c>
      <x:c r="G39" s="57">
        <x:v>0.333333333333333</x:v>
      </x:c>
      <x:c r="H39" s="58" t="s">
        <x:v>28</x:v>
      </x:c>
      <x:c r="I39" s="54" t="s">
        <x:v>29</x:v>
      </x:c>
      <x:c r="J39" s="55"/>
      <x:c r="K39" s="69"/>
    </x:row>
  </x:sheetData>
  <x:conditionalFormatting sqref="D10:E10">
    <x:cfRule type="timePeriod" dxfId="1" priority="240" timePeriod="lastMonth">
      <x:formula>AND(MONTH(D10)=MONTH(EDATE(TODAY(),0-1)),YEAR(D10)=YEAR(EDATE(TODAY(),0-1)))</x:formula>
    </x:cfRule>
    <x:cfRule type="expression" dxfId="3" priority="241">
      <x:formula>$B10="土"</x:formula>
    </x:cfRule>
    <x:cfRule type="expression" dxfId="3" priority="242">
      <x:formula>$B10="日"</x:formula>
    </x:cfRule>
  </x:conditionalFormatting>
  <x:conditionalFormatting sqref="G10:G10">
    <x:cfRule type="expression" dxfId="3" priority="231">
      <x:formula>$B10="土"</x:formula>
    </x:cfRule>
    <x:cfRule type="expression" dxfId="3" priority="232">
      <x:formula>$B10="日"</x:formula>
    </x:cfRule>
    <x:cfRule type="timePeriod" dxfId="1" priority="233" timePeriod="lastMonth">
      <x:formula>AND(MONTH(G10)=MONTH(EDATE(TODAY(),0-1)),YEAR(G10)=YEAR(EDATE(TODAY(),0-1)))</x:formula>
    </x:cfRule>
  </x:conditionalFormatting>
  <x:conditionalFormatting sqref="I10:I10">
    <x:cfRule type="expression" dxfId="3" priority="237">
      <x:formula>$B10="土"</x:formula>
    </x:cfRule>
    <x:cfRule type="expression" dxfId="3" priority="238">
      <x:formula>$B10="日"</x:formula>
    </x:cfRule>
    <x:cfRule type="timePeriod" dxfId="1" priority="239" timePeriod="lastMonth">
      <x:formula>AND(MONTH(I10)=MONTH(EDATE(TODAY(),0-1)),YEAR(I10)=YEAR(EDATE(TODAY(),0-1)))</x:formula>
    </x:cfRule>
  </x:conditionalFormatting>
  <x:conditionalFormatting sqref="J10:J10">
    <x:cfRule type="timePeriod" dxfId="1" priority="236" timePeriod="lastMonth">
      <x:formula>AND(MONTH(J10)=MONTH(EDATE(TODAY(),0-1)),YEAR(J10)=YEAR(EDATE(TODAY(),0-1)))</x:formula>
    </x:cfRule>
  </x:conditionalFormatting>
  <x:conditionalFormatting sqref="K10:K10">
    <x:cfRule type="timePeriod" dxfId="1" priority="229" timePeriod="lastMonth">
      <x:formula>AND(MONTH(K10)=MONTH(EDATE(TODAY(),0-1)),YEAR(K10)=YEAR(EDATE(TODAY(),0-1)))</x:formula>
    </x:cfRule>
    <x:cfRule type="expression" dxfId="3" priority="230">
      <x:formula>WEEKDAY(K$10)=L$4</x:formula>
    </x:cfRule>
  </x:conditionalFormatting>
  <x:conditionalFormatting sqref="G11:G11">
    <x:cfRule type="expression" dxfId="3" priority="366">
      <x:formula>$B11="土"</x:formula>
    </x:cfRule>
    <x:cfRule type="expression" dxfId="3" priority="367">
      <x:formula>$B11="日"</x:formula>
    </x:cfRule>
    <x:cfRule type="timePeriod" dxfId="1" priority="368" timePeriod="lastMonth">
      <x:formula>AND(MONTH(G11)=MONTH(EDATE(TODAY(),0-1)),YEAR(G11)=YEAR(EDATE(TODAY(),0-1)))</x:formula>
    </x:cfRule>
  </x:conditionalFormatting>
  <x:conditionalFormatting sqref="I11:I11">
    <x:cfRule type="expression" dxfId="3" priority="214">
      <x:formula>$B11="土"</x:formula>
    </x:cfRule>
    <x:cfRule type="expression" dxfId="3" priority="215">
      <x:formula>$B11="日"</x:formula>
    </x:cfRule>
    <x:cfRule type="timePeriod" dxfId="1" priority="216" timePeriod="lastMonth">
      <x:formula>AND(MONTH(I11)=MONTH(EDATE(TODAY(),0-1)),YEAR(I11)=YEAR(EDATE(TODAY(),0-1)))</x:formula>
    </x:cfRule>
  </x:conditionalFormatting>
  <x:conditionalFormatting sqref="J11:J11">
    <x:cfRule type="timePeriod" dxfId="1" priority="374" timePeriod="lastMonth">
      <x:formula>AND(MONTH(J11)=MONTH(EDATE(TODAY(),0-1)),YEAR(J11)=YEAR(EDATE(TODAY(),0-1)))</x:formula>
    </x:cfRule>
  </x:conditionalFormatting>
  <x:conditionalFormatting sqref="C12:C12">
    <x:cfRule type="expression" dxfId="3" priority="317">
      <x:formula>$B12="土"</x:formula>
    </x:cfRule>
    <x:cfRule type="expression" dxfId="3" priority="318">
      <x:formula>$B12="日"</x:formula>
    </x:cfRule>
  </x:conditionalFormatting>
  <x:conditionalFormatting sqref="G12:G12">
    <x:cfRule type="expression" dxfId="3" priority="312">
      <x:formula>$B12="土"</x:formula>
    </x:cfRule>
    <x:cfRule type="expression" dxfId="3" priority="313">
      <x:formula>$B12="日"</x:formula>
    </x:cfRule>
    <x:cfRule type="timePeriod" dxfId="1" priority="314" timePeriod="lastMonth">
      <x:formula>AND(MONTH(G12)=MONTH(EDATE(TODAY(),0-1)),YEAR(G12)=YEAR(EDATE(TODAY(),0-1)))</x:formula>
    </x:cfRule>
  </x:conditionalFormatting>
  <x:conditionalFormatting sqref="I12:I12">
    <x:cfRule type="expression" dxfId="3" priority="76">
      <x:formula>$B12="土"</x:formula>
    </x:cfRule>
    <x:cfRule type="expression" dxfId="3" priority="77">
      <x:formula>$B12="日"</x:formula>
    </x:cfRule>
    <x:cfRule type="timePeriod" dxfId="1" priority="78" timePeriod="lastMonth">
      <x:formula>AND(MONTH(I12)=MONTH(EDATE(TODAY(),0-1)),YEAR(I12)=YEAR(EDATE(TODAY(),0-1)))</x:formula>
    </x:cfRule>
  </x:conditionalFormatting>
  <x:conditionalFormatting sqref="C13:C13">
    <x:cfRule type="expression" dxfId="3" priority="315">
      <x:formula>$B13="土"</x:formula>
    </x:cfRule>
    <x:cfRule type="expression" dxfId="3" priority="316">
      <x:formula>$B13="日"</x:formula>
    </x:cfRule>
  </x:conditionalFormatting>
  <x:conditionalFormatting sqref="G13:G13">
    <x:cfRule type="expression" dxfId="3" priority="309">
      <x:formula>$B13="土"</x:formula>
    </x:cfRule>
    <x:cfRule type="expression" dxfId="3" priority="310">
      <x:formula>$B13="日"</x:formula>
    </x:cfRule>
    <x:cfRule type="timePeriod" dxfId="1" priority="311" timePeriod="lastMonth">
      <x:formula>AND(MONTH(G13)=MONTH(EDATE(TODAY(),0-1)),YEAR(G13)=YEAR(EDATE(TODAY(),0-1)))</x:formula>
    </x:cfRule>
  </x:conditionalFormatting>
  <x:conditionalFormatting sqref="I13:I13">
    <x:cfRule type="expression" dxfId="3" priority="73">
      <x:formula>$B13="土"</x:formula>
    </x:cfRule>
    <x:cfRule type="expression" dxfId="3" priority="74">
      <x:formula>$B13="日"</x:formula>
    </x:cfRule>
    <x:cfRule type="timePeriod" dxfId="1" priority="75" timePeriod="lastMonth">
      <x:formula>AND(MONTH(I13)=MONTH(EDATE(TODAY(),0-1)),YEAR(I13)=YEAR(EDATE(TODAY(),0-1)))</x:formula>
    </x:cfRule>
  </x:conditionalFormatting>
  <x:conditionalFormatting sqref="G14:G14">
    <x:cfRule type="expression" dxfId="3" priority="341">
      <x:formula>$B14="土"</x:formula>
    </x:cfRule>
    <x:cfRule type="expression" dxfId="3" priority="342">
      <x:formula>$B14="日"</x:formula>
    </x:cfRule>
    <x:cfRule type="timePeriod" dxfId="1" priority="343" timePeriod="lastMonth">
      <x:formula>AND(MONTH(G14)=MONTH(EDATE(TODAY(),0-1)),YEAR(G14)=YEAR(EDATE(TODAY(),0-1)))</x:formula>
    </x:cfRule>
  </x:conditionalFormatting>
  <x:conditionalFormatting sqref="G15:G15">
    <x:cfRule type="expression" dxfId="3" priority="338">
      <x:formula>$B15="土"</x:formula>
    </x:cfRule>
    <x:cfRule type="expression" dxfId="3" priority="339">
      <x:formula>$B15="日"</x:formula>
    </x:cfRule>
    <x:cfRule type="timePeriod" dxfId="1" priority="340" timePeriod="lastMonth">
      <x:formula>AND(MONTH(G15)=MONTH(EDATE(TODAY(),0-1)),YEAR(G15)=YEAR(EDATE(TODAY(),0-1)))</x:formula>
    </x:cfRule>
  </x:conditionalFormatting>
  <x:conditionalFormatting sqref="I15:I15">
    <x:cfRule type="expression" dxfId="3" priority="211">
      <x:formula>$B15="土"</x:formula>
    </x:cfRule>
    <x:cfRule type="expression" dxfId="3" priority="212">
      <x:formula>$B15="日"</x:formula>
    </x:cfRule>
    <x:cfRule type="timePeriod" dxfId="1" priority="213" timePeriod="lastMonth">
      <x:formula>AND(MONTH(I15)=MONTH(EDATE(TODAY(),0-1)),YEAR(I15)=YEAR(EDATE(TODAY(),0-1)))</x:formula>
    </x:cfRule>
  </x:conditionalFormatting>
  <x:conditionalFormatting sqref="J15:J15">
    <x:cfRule type="expression" dxfId="3" priority="301">
      <x:formula>$B15="土"</x:formula>
    </x:cfRule>
    <x:cfRule type="expression" dxfId="3" priority="302">
      <x:formula>$B15="日"</x:formula>
    </x:cfRule>
    <x:cfRule type="timePeriod" dxfId="1" priority="303" timePeriod="lastMonth">
      <x:formula>AND(MONTH(J15)=MONTH(EDATE(TODAY(),0-1)),YEAR(J15)=YEAR(EDATE(TODAY(),0-1)))</x:formula>
    </x:cfRule>
  </x:conditionalFormatting>
  <x:conditionalFormatting sqref="K15:K15">
    <x:cfRule type="timePeriod" dxfId="1" priority="299" timePeriod="lastMonth">
      <x:formula>AND(MONTH(K15)=MONTH(EDATE(TODAY(),0-1)),YEAR(K15)=YEAR(EDATE(TODAY(),0-1)))</x:formula>
    </x:cfRule>
    <x:cfRule type="expression" dxfId="3" priority="300">
      <x:formula>WEEKDAY(K$10)=L$4</x:formula>
    </x:cfRule>
  </x:conditionalFormatting>
  <x:conditionalFormatting sqref="C16:F16">
    <x:cfRule type="timePeriod" dxfId="1" priority="220" timePeriod="lastMonth">
      <x:formula>AND(MONTH(C16)=MONTH(EDATE(TODAY(),0-1)),YEAR(C16)=YEAR(EDATE(TODAY(),0-1)))</x:formula>
    </x:cfRule>
    <x:cfRule type="expression" dxfId="3" priority="221">
      <x:formula>$B16="土"</x:formula>
    </x:cfRule>
    <x:cfRule type="expression" dxfId="3" priority="222">
      <x:formula>$B16="日"</x:formula>
    </x:cfRule>
  </x:conditionalFormatting>
  <x:conditionalFormatting sqref="G16:G16">
    <x:cfRule type="expression" dxfId="3" priority="217">
      <x:formula>$B16="土"</x:formula>
    </x:cfRule>
    <x:cfRule type="expression" dxfId="3" priority="218">
      <x:formula>$B16="日"</x:formula>
    </x:cfRule>
    <x:cfRule type="timePeriod" dxfId="1" priority="219" timePeriod="lastMonth">
      <x:formula>AND(MONTH(G16)=MONTH(EDATE(TODAY(),0-1)),YEAR(G16)=YEAR(EDATE(TODAY(),0-1)))</x:formula>
    </x:cfRule>
  </x:conditionalFormatting>
  <x:conditionalFormatting sqref="I16:I16">
    <x:cfRule type="expression" dxfId="3" priority="208">
      <x:formula>$B16="土"</x:formula>
    </x:cfRule>
    <x:cfRule type="expression" dxfId="3" priority="209">
      <x:formula>$B16="日"</x:formula>
    </x:cfRule>
    <x:cfRule type="timePeriod" dxfId="1" priority="210" timePeriod="lastMonth">
      <x:formula>AND(MONTH(I16)=MONTH(EDATE(TODAY(),0-1)),YEAR(I16)=YEAR(EDATE(TODAY(),0-1)))</x:formula>
    </x:cfRule>
  </x:conditionalFormatting>
  <x:conditionalFormatting sqref="K16:K16">
    <x:cfRule type="timePeriod" dxfId="1" priority="336" timePeriod="lastMonth">
      <x:formula>AND(MONTH(K16)=MONTH(EDATE(TODAY(),0-1)),YEAR(K16)=YEAR(EDATE(TODAY(),0-1)))</x:formula>
    </x:cfRule>
    <x:cfRule type="expression" dxfId="3" priority="337">
      <x:formula>WEEKDAY(K$10)=L$4</x:formula>
    </x:cfRule>
  </x:conditionalFormatting>
  <x:conditionalFormatting sqref="G17:G17">
    <x:cfRule type="expression" dxfId="3" priority="223">
      <x:formula>$B17="土"</x:formula>
    </x:cfRule>
    <x:cfRule type="expression" dxfId="3" priority="224">
      <x:formula>$B17="日"</x:formula>
    </x:cfRule>
    <x:cfRule type="timePeriod" dxfId="1" priority="225" timePeriod="lastMonth">
      <x:formula>AND(MONTH(G17)=MONTH(EDATE(TODAY(),0-1)),YEAR(G17)=YEAR(EDATE(TODAY(),0-1)))</x:formula>
    </x:cfRule>
  </x:conditionalFormatting>
  <x:conditionalFormatting sqref="H17:I17">
    <x:cfRule type="expression" dxfId="3" priority="70">
      <x:formula>$B17="土"</x:formula>
    </x:cfRule>
    <x:cfRule type="expression" dxfId="3" priority="71">
      <x:formula>$B17="日"</x:formula>
    </x:cfRule>
    <x:cfRule type="timePeriod" dxfId="1" priority="72" timePeriod="lastMonth">
      <x:formula>AND(MONTH(H17)=MONTH(EDATE(TODAY(),0-1)),YEAR(H17)=YEAR(EDATE(TODAY(),0-1)))</x:formula>
    </x:cfRule>
  </x:conditionalFormatting>
  <x:conditionalFormatting sqref="J17:J17">
    <x:cfRule type="expression" dxfId="3" priority="369">
      <x:formula>$B17="土"</x:formula>
    </x:cfRule>
    <x:cfRule type="expression" dxfId="3" priority="370">
      <x:formula>$B17="日"</x:formula>
    </x:cfRule>
    <x:cfRule type="timePeriod" dxfId="1" priority="371" timePeriod="lastMonth">
      <x:formula>AND(MONTH(J17)=MONTH(EDATE(TODAY(),0-1)),YEAR(J17)=YEAR(EDATE(TODAY(),0-1)))</x:formula>
    </x:cfRule>
  </x:conditionalFormatting>
  <x:conditionalFormatting sqref="K17:K17">
    <x:cfRule type="timePeriod" dxfId="1" priority="362" timePeriod="lastMonth">
      <x:formula>AND(MONTH(K17)=MONTH(EDATE(TODAY(),0-1)),YEAR(K17)=YEAR(EDATE(TODAY(),0-1)))</x:formula>
    </x:cfRule>
    <x:cfRule type="expression" dxfId="3" priority="363">
      <x:formula>WEEKDAY(K$10)=L$4</x:formula>
    </x:cfRule>
  </x:conditionalFormatting>
  <x:conditionalFormatting sqref="I18:I18">
    <x:cfRule type="expression" dxfId="3" priority="67">
      <x:formula>$B18="土"</x:formula>
    </x:cfRule>
    <x:cfRule type="expression" dxfId="3" priority="68">
      <x:formula>$B18="日"</x:formula>
    </x:cfRule>
    <x:cfRule type="timePeriod" dxfId="1" priority="69" timePeriod="lastMonth">
      <x:formula>AND(MONTH(I18)=MONTH(EDATE(TODAY(),0-1)),YEAR(I18)=YEAR(EDATE(TODAY(),0-1)))</x:formula>
    </x:cfRule>
  </x:conditionalFormatting>
  <x:conditionalFormatting sqref="I19:I19">
    <x:cfRule type="expression" dxfId="3" priority="64">
      <x:formula>$B19="土"</x:formula>
    </x:cfRule>
    <x:cfRule type="expression" dxfId="3" priority="65">
      <x:formula>$B19="日"</x:formula>
    </x:cfRule>
    <x:cfRule type="timePeriod" dxfId="1" priority="66" timePeriod="lastMonth">
      <x:formula>AND(MONTH(I19)=MONTH(EDATE(TODAY(),0-1)),YEAR(I19)=YEAR(EDATE(TODAY(),0-1)))</x:formula>
    </x:cfRule>
  </x:conditionalFormatting>
  <x:conditionalFormatting sqref="C20:E20">
    <x:cfRule type="timePeriod" dxfId="1" priority="61" timePeriod="lastMonth">
      <x:formula>AND(MONTH(C20)=MONTH(EDATE(TODAY(),0-1)),YEAR(C20)=YEAR(EDATE(TODAY(),0-1)))</x:formula>
    </x:cfRule>
    <x:cfRule type="expression" dxfId="3" priority="62">
      <x:formula>$B20="土"</x:formula>
    </x:cfRule>
    <x:cfRule type="expression" dxfId="3" priority="63">
      <x:formula>$B20="日"</x:formula>
    </x:cfRule>
  </x:conditionalFormatting>
  <x:conditionalFormatting sqref="F20:F20">
    <x:cfRule type="timePeriod" dxfId="1" priority="55" timePeriod="lastMonth">
      <x:formula>AND(MONTH(F20)=MONTH(EDATE(TODAY(),0-1)),YEAR(F20)=YEAR(EDATE(TODAY(),0-1)))</x:formula>
    </x:cfRule>
    <x:cfRule type="expression" dxfId="3" priority="56">
      <x:formula>$B20="土"</x:formula>
    </x:cfRule>
    <x:cfRule type="expression" dxfId="3" priority="57">
      <x:formula>$B20="日"</x:formula>
    </x:cfRule>
  </x:conditionalFormatting>
  <x:conditionalFormatting sqref="G20:G20">
    <x:cfRule type="expression" dxfId="3" priority="58">
      <x:formula>$B20="土"</x:formula>
    </x:cfRule>
    <x:cfRule type="expression" dxfId="3" priority="59">
      <x:formula>$B20="日"</x:formula>
    </x:cfRule>
    <x:cfRule type="timePeriod" dxfId="1" priority="60" timePeriod="lastMonth">
      <x:formula>AND(MONTH(G20)=MONTH(EDATE(TODAY(),0-1)),YEAR(G20)=YEAR(EDATE(TODAY(),0-1)))</x:formula>
    </x:cfRule>
  </x:conditionalFormatting>
  <x:conditionalFormatting sqref="H20:H20">
    <x:cfRule type="expression" dxfId="3" priority="178">
      <x:formula>$B20="土"</x:formula>
    </x:cfRule>
    <x:cfRule type="expression" dxfId="3" priority="179">
      <x:formula>$B20="日"</x:formula>
    </x:cfRule>
    <x:cfRule type="timePeriod" dxfId="1" priority="180" timePeriod="lastMonth">
      <x:formula>AND(MONTH(H20)=MONTH(EDATE(TODAY(),0-1)),YEAR(H20)=YEAR(EDATE(TODAY(),0-1)))</x:formula>
    </x:cfRule>
  </x:conditionalFormatting>
  <x:conditionalFormatting sqref="I20:I20">
    <x:cfRule type="expression" dxfId="3" priority="181">
      <x:formula>$B20="土"</x:formula>
    </x:cfRule>
    <x:cfRule type="expression" dxfId="3" priority="182">
      <x:formula>$B20="日"</x:formula>
    </x:cfRule>
    <x:cfRule type="timePeriod" dxfId="1" priority="183" timePeriod="lastMonth">
      <x:formula>AND(MONTH(I20)=MONTH(EDATE(TODAY(),0-1)),YEAR(I20)=YEAR(EDATE(TODAY(),0-1)))</x:formula>
    </x:cfRule>
  </x:conditionalFormatting>
  <x:conditionalFormatting sqref="C21:E21">
    <x:cfRule type="timePeriod" dxfId="1" priority="7" timePeriod="lastMonth">
      <x:formula>AND(MONTH(C21)=MONTH(EDATE(TODAY(),0-1)),YEAR(C21)=YEAR(EDATE(TODAY(),0-1)))</x:formula>
    </x:cfRule>
    <x:cfRule type="expression" dxfId="3" priority="8">
      <x:formula>$B21="土"</x:formula>
    </x:cfRule>
    <x:cfRule type="expression" dxfId="3" priority="9">
      <x:formula>$B21="日"</x:formula>
    </x:cfRule>
  </x:conditionalFormatting>
  <x:conditionalFormatting sqref="F21:F21">
    <x:cfRule type="timePeriod" dxfId="1" priority="1" timePeriod="lastMonth">
      <x:formula>AND(MONTH(F21)=MONTH(EDATE(TODAY(),0-1)),YEAR(F21)=YEAR(EDATE(TODAY(),0-1)))</x:formula>
    </x:cfRule>
    <x:cfRule type="expression" dxfId="3" priority="2">
      <x:formula>$B21="土"</x:formula>
    </x:cfRule>
    <x:cfRule type="expression" dxfId="3" priority="3">
      <x:formula>$B21="日"</x:formula>
    </x:cfRule>
  </x:conditionalFormatting>
  <x:conditionalFormatting sqref="G21:G21">
    <x:cfRule type="expression" dxfId="3" priority="4">
      <x:formula>$B21="土"</x:formula>
    </x:cfRule>
    <x:cfRule type="expression" dxfId="3" priority="5">
      <x:formula>$B21="日"</x:formula>
    </x:cfRule>
    <x:cfRule type="timePeriod" dxfId="1" priority="6" timePeriod="lastMonth">
      <x:formula>AND(MONTH(G21)=MONTH(EDATE(TODAY(),0-1)),YEAR(G21)=YEAR(EDATE(TODAY(),0-1)))</x:formula>
    </x:cfRule>
  </x:conditionalFormatting>
  <x:conditionalFormatting sqref="H21:H21">
    <x:cfRule type="expression" dxfId="3" priority="10">
      <x:formula>$B21="土"</x:formula>
    </x:cfRule>
    <x:cfRule type="expression" dxfId="3" priority="11">
      <x:formula>$B21="日"</x:formula>
    </x:cfRule>
    <x:cfRule type="timePeriod" dxfId="1" priority="12" timePeriod="lastMonth">
      <x:formula>AND(MONTH(H21)=MONTH(EDATE(TODAY(),0-1)),YEAR(H21)=YEAR(EDATE(TODAY(),0-1)))</x:formula>
    </x:cfRule>
  </x:conditionalFormatting>
  <x:conditionalFormatting sqref="I21:I21">
    <x:cfRule type="expression" dxfId="3" priority="13">
      <x:formula>$B21="土"</x:formula>
    </x:cfRule>
    <x:cfRule type="expression" dxfId="3" priority="14">
      <x:formula>$B21="日"</x:formula>
    </x:cfRule>
    <x:cfRule type="timePeriod" dxfId="1" priority="15" timePeriod="lastMonth">
      <x:formula>AND(MONTH(I21)=MONTH(EDATE(TODAY(),0-1)),YEAR(I21)=YEAR(EDATE(TODAY(),0-1)))</x:formula>
    </x:cfRule>
  </x:conditionalFormatting>
  <x:conditionalFormatting sqref="K21:K21">
    <x:cfRule type="expression" dxfId="3" priority="249">
      <x:formula>$B21="土"</x:formula>
    </x:cfRule>
    <x:cfRule type="expression" dxfId="3" priority="250">
      <x:formula>$B21="日"</x:formula>
    </x:cfRule>
    <x:cfRule type="timePeriod" dxfId="1" priority="251" timePeriod="lastMonth">
      <x:formula>AND(MONTH(K21)=MONTH(EDATE(TODAY(),0-1)),YEAR(K21)=YEAR(EDATE(TODAY(),0-1)))</x:formula>
    </x:cfRule>
  </x:conditionalFormatting>
  <x:conditionalFormatting sqref="C22:F22">
    <x:cfRule type="timePeriod" dxfId="1" priority="166" timePeriod="lastMonth">
      <x:formula>AND(MONTH(C22)=MONTH(EDATE(TODAY(),0-1)),YEAR(C22)=YEAR(EDATE(TODAY(),0-1)))</x:formula>
    </x:cfRule>
    <x:cfRule type="expression" dxfId="3" priority="167">
      <x:formula>$B22="土"</x:formula>
    </x:cfRule>
    <x:cfRule type="expression" dxfId="3" priority="168">
      <x:formula>$B22="日"</x:formula>
    </x:cfRule>
  </x:conditionalFormatting>
  <x:conditionalFormatting sqref="G22:G22">
    <x:cfRule type="expression" dxfId="3" priority="163">
      <x:formula>$B22="土"</x:formula>
    </x:cfRule>
    <x:cfRule type="expression" dxfId="3" priority="164">
      <x:formula>$B22="日"</x:formula>
    </x:cfRule>
    <x:cfRule type="timePeriod" dxfId="1" priority="165" timePeriod="lastMonth">
      <x:formula>AND(MONTH(G22)=MONTH(EDATE(TODAY(),0-1)),YEAR(G22)=YEAR(EDATE(TODAY(),0-1)))</x:formula>
    </x:cfRule>
  </x:conditionalFormatting>
  <x:conditionalFormatting sqref="H22:H22">
    <x:cfRule type="expression" dxfId="3" priority="160">
      <x:formula>$B22="土"</x:formula>
    </x:cfRule>
    <x:cfRule type="expression" dxfId="3" priority="161">
      <x:formula>$B22="日"</x:formula>
    </x:cfRule>
    <x:cfRule type="timePeriod" dxfId="1" priority="162" timePeriod="lastMonth">
      <x:formula>AND(MONTH(H22)=MONTH(EDATE(TODAY(),0-1)),YEAR(H22)=YEAR(EDATE(TODAY(),0-1)))</x:formula>
    </x:cfRule>
  </x:conditionalFormatting>
  <x:conditionalFormatting sqref="I22:I22">
    <x:cfRule type="expression" dxfId="3" priority="157">
      <x:formula>$B22="土"</x:formula>
    </x:cfRule>
    <x:cfRule type="expression" dxfId="3" priority="158">
      <x:formula>$B22="日"</x:formula>
    </x:cfRule>
    <x:cfRule type="timePeriod" dxfId="1" priority="159" timePeriod="lastMonth">
      <x:formula>AND(MONTH(I22)=MONTH(EDATE(TODAY(),0-1)),YEAR(I22)=YEAR(EDATE(TODAY(),0-1)))</x:formula>
    </x:cfRule>
  </x:conditionalFormatting>
  <x:conditionalFormatting sqref="A23:B23">
    <x:cfRule type="expression" dxfId="3" priority="260">
      <x:formula>$B23="土"</x:formula>
    </x:cfRule>
    <x:cfRule type="expression" dxfId="3" priority="261">
      <x:formula>$B23="日"</x:formula>
    </x:cfRule>
  </x:conditionalFormatting>
  <x:conditionalFormatting sqref="B23:B23">
    <x:cfRule type="timePeriod" dxfId="1" priority="262" timePeriod="lastMonth">
      <x:formula>AND(MONTH(B23)=MONTH(EDATE(TODAY(),0-1)),YEAR(B23)=YEAR(EDATE(TODAY(),0-1)))</x:formula>
    </x:cfRule>
  </x:conditionalFormatting>
  <x:conditionalFormatting sqref="C23:F23">
    <x:cfRule type="timePeriod" dxfId="1" priority="205" timePeriod="lastMonth">
      <x:formula>AND(MONTH(C23)=MONTH(EDATE(TODAY(),0-1)),YEAR(C23)=YEAR(EDATE(TODAY(),0-1)))</x:formula>
    </x:cfRule>
    <x:cfRule type="expression" dxfId="3" priority="206">
      <x:formula>$B23="土"</x:formula>
    </x:cfRule>
    <x:cfRule type="expression" dxfId="3" priority="207">
      <x:formula>$B23="日"</x:formula>
    </x:cfRule>
  </x:conditionalFormatting>
  <x:conditionalFormatting sqref="G23:G23">
    <x:cfRule type="expression" dxfId="3" priority="202">
      <x:formula>$B23="土"</x:formula>
    </x:cfRule>
    <x:cfRule type="expression" dxfId="3" priority="203">
      <x:formula>$B23="日"</x:formula>
    </x:cfRule>
    <x:cfRule type="timePeriod" dxfId="1" priority="204" timePeriod="lastMonth">
      <x:formula>AND(MONTH(G23)=MONTH(EDATE(TODAY(),0-1)),YEAR(G23)=YEAR(EDATE(TODAY(),0-1)))</x:formula>
    </x:cfRule>
  </x:conditionalFormatting>
  <x:conditionalFormatting sqref="H23:H23">
    <x:cfRule type="expression" dxfId="3" priority="154">
      <x:formula>$B23="土"</x:formula>
    </x:cfRule>
    <x:cfRule type="expression" dxfId="3" priority="155">
      <x:formula>$B23="日"</x:formula>
    </x:cfRule>
    <x:cfRule type="timePeriod" dxfId="1" priority="156" timePeriod="lastMonth">
      <x:formula>AND(MONTH(H23)=MONTH(EDATE(TODAY(),0-1)),YEAR(H23)=YEAR(EDATE(TODAY(),0-1)))</x:formula>
    </x:cfRule>
  </x:conditionalFormatting>
  <x:conditionalFormatting sqref="I23:I23">
    <x:cfRule type="expression" dxfId="3" priority="151">
      <x:formula>$B23="土"</x:formula>
    </x:cfRule>
    <x:cfRule type="expression" dxfId="3" priority="152">
      <x:formula>$B23="日"</x:formula>
    </x:cfRule>
    <x:cfRule type="timePeriod" dxfId="1" priority="153" timePeriod="lastMonth">
      <x:formula>AND(MONTH(I23)=MONTH(EDATE(TODAY(),0-1)),YEAR(I23)=YEAR(EDATE(TODAY(),0-1)))</x:formula>
    </x:cfRule>
  </x:conditionalFormatting>
  <x:conditionalFormatting sqref="J23:J23">
    <x:cfRule type="expression" dxfId="3" priority="257">
      <x:formula>$B23="土"</x:formula>
    </x:cfRule>
    <x:cfRule type="expression" dxfId="3" priority="258">
      <x:formula>$B23="日"</x:formula>
    </x:cfRule>
    <x:cfRule type="timePeriod" dxfId="1" priority="259" timePeriod="lastMonth">
      <x:formula>AND(MONTH(J23)=MONTH(EDATE(TODAY(),0-1)),YEAR(J23)=YEAR(EDATE(TODAY(),0-1)))</x:formula>
    </x:cfRule>
  </x:conditionalFormatting>
  <x:conditionalFormatting sqref="K23:K23">
    <x:cfRule type="timePeriod" dxfId="1" priority="255" timePeriod="lastMonth">
      <x:formula>AND(MONTH(K23)=MONTH(EDATE(TODAY(),0-1)),YEAR(K23)=YEAR(EDATE(TODAY(),0-1)))</x:formula>
    </x:cfRule>
    <x:cfRule type="expression" dxfId="3" priority="256">
      <x:formula>WEEKDAY(K$10)=L$4</x:formula>
    </x:cfRule>
  </x:conditionalFormatting>
  <x:conditionalFormatting sqref="C24:F24">
    <x:cfRule type="timePeriod" dxfId="1" priority="199" timePeriod="lastMonth">
      <x:formula>AND(MONTH(C24)=MONTH(EDATE(TODAY(),0-1)),YEAR(C24)=YEAR(EDATE(TODAY(),0-1)))</x:formula>
    </x:cfRule>
    <x:cfRule type="expression" dxfId="3" priority="200">
      <x:formula>$B24="土"</x:formula>
    </x:cfRule>
    <x:cfRule type="expression" dxfId="3" priority="201">
      <x:formula>$B24="日"</x:formula>
    </x:cfRule>
  </x:conditionalFormatting>
  <x:conditionalFormatting sqref="G24:G24">
    <x:cfRule type="expression" dxfId="3" priority="196">
      <x:formula>$B24="土"</x:formula>
    </x:cfRule>
    <x:cfRule type="expression" dxfId="3" priority="197">
      <x:formula>$B24="日"</x:formula>
    </x:cfRule>
    <x:cfRule type="timePeriod" dxfId="1" priority="198" timePeriod="lastMonth">
      <x:formula>AND(MONTH(G24)=MONTH(EDATE(TODAY(),0-1)),YEAR(G24)=YEAR(EDATE(TODAY(),0-1)))</x:formula>
    </x:cfRule>
  </x:conditionalFormatting>
  <x:conditionalFormatting sqref="H24:H24">
    <x:cfRule type="expression" dxfId="3" priority="49">
      <x:formula>$B24="土"</x:formula>
    </x:cfRule>
    <x:cfRule type="expression" dxfId="3" priority="50">
      <x:formula>$B24="日"</x:formula>
    </x:cfRule>
    <x:cfRule type="timePeriod" dxfId="1" priority="51" timePeriod="lastMonth">
      <x:formula>AND(MONTH(H24)=MONTH(EDATE(TODAY(),0-1)),YEAR(H24)=YEAR(EDATE(TODAY(),0-1)))</x:formula>
    </x:cfRule>
  </x:conditionalFormatting>
  <x:conditionalFormatting sqref="I24:I24">
    <x:cfRule type="expression" dxfId="3" priority="52">
      <x:formula>$B24="土"</x:formula>
    </x:cfRule>
    <x:cfRule type="expression" dxfId="3" priority="53">
      <x:formula>$B24="日"</x:formula>
    </x:cfRule>
    <x:cfRule type="timePeriod" dxfId="1" priority="54" timePeriod="lastMonth">
      <x:formula>AND(MONTH(I24)=MONTH(EDATE(TODAY(),0-1)),YEAR(I24)=YEAR(EDATE(TODAY(),0-1)))</x:formula>
    </x:cfRule>
  </x:conditionalFormatting>
  <x:conditionalFormatting sqref="J24:J24">
    <x:cfRule type="expression" dxfId="3" priority="359">
      <x:formula>$B24="土"</x:formula>
    </x:cfRule>
    <x:cfRule type="expression" dxfId="3" priority="360">
      <x:formula>$B24="日"</x:formula>
    </x:cfRule>
    <x:cfRule type="timePeriod" dxfId="1" priority="361" timePeriod="lastMonth">
      <x:formula>AND(MONTH(J24)=MONTH(EDATE(TODAY(),0-1)),YEAR(J24)=YEAR(EDATE(TODAY(),0-1)))</x:formula>
    </x:cfRule>
  </x:conditionalFormatting>
  <x:conditionalFormatting sqref="K24:K24">
    <x:cfRule type="timePeriod" dxfId="1" priority="334" timePeriod="lastMonth">
      <x:formula>AND(MONTH(K24)=MONTH(EDATE(TODAY(),0-1)),YEAR(K24)=YEAR(EDATE(TODAY(),0-1)))</x:formula>
    </x:cfRule>
    <x:cfRule type="expression" dxfId="3" priority="335">
      <x:formula>WEEKDAY(K$10)=L$4</x:formula>
    </x:cfRule>
  </x:conditionalFormatting>
  <x:conditionalFormatting sqref="H25:H25">
    <x:cfRule type="expression" dxfId="3" priority="43">
      <x:formula>$B25="土"</x:formula>
    </x:cfRule>
    <x:cfRule type="expression" dxfId="3" priority="44">
      <x:formula>$B25="日"</x:formula>
    </x:cfRule>
    <x:cfRule type="timePeriod" dxfId="1" priority="45" timePeriod="lastMonth">
      <x:formula>AND(MONTH(H25)=MONTH(EDATE(TODAY(),0-1)),YEAR(H25)=YEAR(EDATE(TODAY(),0-1)))</x:formula>
    </x:cfRule>
  </x:conditionalFormatting>
  <x:conditionalFormatting sqref="I25:I25">
    <x:cfRule type="expression" dxfId="3" priority="46">
      <x:formula>$B25="土"</x:formula>
    </x:cfRule>
    <x:cfRule type="expression" dxfId="3" priority="47">
      <x:formula>$B25="日"</x:formula>
    </x:cfRule>
    <x:cfRule type="timePeriod" dxfId="1" priority="48" timePeriod="lastMonth">
      <x:formula>AND(MONTH(I25)=MONTH(EDATE(TODAY(),0-1)),YEAR(I25)=YEAR(EDATE(TODAY(),0-1)))</x:formula>
    </x:cfRule>
  </x:conditionalFormatting>
  <x:conditionalFormatting sqref="I26:I26">
    <x:cfRule type="expression" dxfId="3" priority="40">
      <x:formula>$B26="土"</x:formula>
    </x:cfRule>
    <x:cfRule type="expression" dxfId="3" priority="41">
      <x:formula>$B26="日"</x:formula>
    </x:cfRule>
    <x:cfRule type="timePeriod" dxfId="1" priority="42" timePeriod="lastMonth">
      <x:formula>AND(MONTH(I26)=MONTH(EDATE(TODAY(),0-1)),YEAR(I26)=YEAR(EDATE(TODAY(),0-1)))</x:formula>
    </x:cfRule>
  </x:conditionalFormatting>
  <x:conditionalFormatting sqref="C27:F27">
    <x:cfRule type="timePeriod" dxfId="1" priority="148" timePeriod="lastMonth">
      <x:formula>AND(MONTH(C27)=MONTH(EDATE(TODAY(),0-1)),YEAR(C27)=YEAR(EDATE(TODAY(),0-1)))</x:formula>
    </x:cfRule>
    <x:cfRule type="expression" dxfId="3" priority="149">
      <x:formula>$B27="土"</x:formula>
    </x:cfRule>
    <x:cfRule type="expression" dxfId="3" priority="150">
      <x:formula>$B27="日"</x:formula>
    </x:cfRule>
  </x:conditionalFormatting>
  <x:conditionalFormatting sqref="G27:G27">
    <x:cfRule type="expression" dxfId="3" priority="145">
      <x:formula>$B27="土"</x:formula>
    </x:cfRule>
    <x:cfRule type="expression" dxfId="3" priority="146">
      <x:formula>$B27="日"</x:formula>
    </x:cfRule>
    <x:cfRule type="timePeriod" dxfId="1" priority="147" timePeriod="lastMonth">
      <x:formula>AND(MONTH(G27)=MONTH(EDATE(TODAY(),0-1)),YEAR(G27)=YEAR(EDATE(TODAY(),0-1)))</x:formula>
    </x:cfRule>
  </x:conditionalFormatting>
  <x:conditionalFormatting sqref="I27:I27">
    <x:cfRule type="expression" dxfId="3" priority="37">
      <x:formula>$B27="土"</x:formula>
    </x:cfRule>
    <x:cfRule type="expression" dxfId="3" priority="38">
      <x:formula>$B27="日"</x:formula>
    </x:cfRule>
    <x:cfRule type="timePeriod" dxfId="1" priority="39" timePeriod="lastMonth">
      <x:formula>AND(MONTH(I27)=MONTH(EDATE(TODAY(),0-1)),YEAR(I27)=YEAR(EDATE(TODAY(),0-1)))</x:formula>
    </x:cfRule>
  </x:conditionalFormatting>
  <x:conditionalFormatting sqref="C28:F28">
    <x:cfRule type="timePeriod" dxfId="1" priority="142" timePeriod="lastMonth">
      <x:formula>AND(MONTH(C28)=MONTH(EDATE(TODAY(),0-1)),YEAR(C28)=YEAR(EDATE(TODAY(),0-1)))</x:formula>
    </x:cfRule>
    <x:cfRule type="expression" dxfId="3" priority="143">
      <x:formula>$B28="土"</x:formula>
    </x:cfRule>
    <x:cfRule type="expression" dxfId="3" priority="144">
      <x:formula>$B28="日"</x:formula>
    </x:cfRule>
  </x:conditionalFormatting>
  <x:conditionalFormatting sqref="G28:G28">
    <x:cfRule type="expression" dxfId="3" priority="139">
      <x:formula>$B28="土"</x:formula>
    </x:cfRule>
    <x:cfRule type="expression" dxfId="3" priority="140">
      <x:formula>$B28="日"</x:formula>
    </x:cfRule>
    <x:cfRule type="timePeriod" dxfId="1" priority="141" timePeriod="lastMonth">
      <x:formula>AND(MONTH(G28)=MONTH(EDATE(TODAY(),0-1)),YEAR(G28)=YEAR(EDATE(TODAY(),0-1)))</x:formula>
    </x:cfRule>
  </x:conditionalFormatting>
  <x:conditionalFormatting sqref="I28:I28">
    <x:cfRule type="expression" dxfId="3" priority="34">
      <x:formula>$B28="土"</x:formula>
    </x:cfRule>
    <x:cfRule type="expression" dxfId="3" priority="35">
      <x:formula>$B28="日"</x:formula>
    </x:cfRule>
    <x:cfRule type="timePeriod" dxfId="1" priority="36" timePeriod="lastMonth">
      <x:formula>AND(MONTH(I28)=MONTH(EDATE(TODAY(),0-1)),YEAR(I28)=YEAR(EDATE(TODAY(),0-1)))</x:formula>
    </x:cfRule>
  </x:conditionalFormatting>
  <x:conditionalFormatting sqref="H29:H29">
    <x:cfRule type="expression" dxfId="3" priority="187">
      <x:formula>$B29="土"</x:formula>
    </x:cfRule>
    <x:cfRule type="expression" dxfId="3" priority="188">
      <x:formula>$B29="日"</x:formula>
    </x:cfRule>
    <x:cfRule type="timePeriod" dxfId="1" priority="189" timePeriod="lastMonth">
      <x:formula>AND(MONTH(H29)=MONTH(EDATE(TODAY(),0-1)),YEAR(H29)=YEAR(EDATE(TODAY(),0-1)))</x:formula>
    </x:cfRule>
  </x:conditionalFormatting>
  <x:conditionalFormatting sqref="I29:I29">
    <x:cfRule type="expression" dxfId="3" priority="184">
      <x:formula>$B29="土"</x:formula>
    </x:cfRule>
    <x:cfRule type="expression" dxfId="3" priority="185">
      <x:formula>$B29="日"</x:formula>
    </x:cfRule>
    <x:cfRule type="timePeriod" dxfId="1" priority="186" timePeriod="lastMonth">
      <x:formula>AND(MONTH(I29)=MONTH(EDATE(TODAY(),0-1)),YEAR(I29)=YEAR(EDATE(TODAY(),0-1)))</x:formula>
    </x:cfRule>
  </x:conditionalFormatting>
  <x:conditionalFormatting sqref="C30:F30">
    <x:cfRule type="timePeriod" dxfId="1" priority="193" timePeriod="lastMonth">
      <x:formula>AND(MONTH(C30)=MONTH(EDATE(TODAY(),0-1)),YEAR(C30)=YEAR(EDATE(TODAY(),0-1)))</x:formula>
    </x:cfRule>
    <x:cfRule type="expression" dxfId="3" priority="194">
      <x:formula>$B30="土"</x:formula>
    </x:cfRule>
    <x:cfRule type="expression" dxfId="3" priority="195">
      <x:formula>$B30="日"</x:formula>
    </x:cfRule>
  </x:conditionalFormatting>
  <x:conditionalFormatting sqref="G30:G30">
    <x:cfRule type="expression" dxfId="3" priority="190">
      <x:formula>$B30="土"</x:formula>
    </x:cfRule>
    <x:cfRule type="expression" dxfId="3" priority="191">
      <x:formula>$B30="日"</x:formula>
    </x:cfRule>
    <x:cfRule type="timePeriod" dxfId="1" priority="192" timePeriod="lastMonth">
      <x:formula>AND(MONTH(G30)=MONTH(EDATE(TODAY(),0-1)),YEAR(G30)=YEAR(EDATE(TODAY(),0-1)))</x:formula>
    </x:cfRule>
  </x:conditionalFormatting>
  <x:conditionalFormatting sqref="H30:H30">
    <x:cfRule type="expression" dxfId="3" priority="136">
      <x:formula>$B30="土"</x:formula>
    </x:cfRule>
    <x:cfRule type="expression" dxfId="3" priority="137">
      <x:formula>$B30="日"</x:formula>
    </x:cfRule>
    <x:cfRule type="timePeriod" dxfId="1" priority="138" timePeriod="lastMonth">
      <x:formula>AND(MONTH(H30)=MONTH(EDATE(TODAY(),0-1)),YEAR(H30)=YEAR(EDATE(TODAY(),0-1)))</x:formula>
    </x:cfRule>
  </x:conditionalFormatting>
  <x:conditionalFormatting sqref="I30:I30">
    <x:cfRule type="expression" dxfId="3" priority="133">
      <x:formula>$B30="土"</x:formula>
    </x:cfRule>
    <x:cfRule type="expression" dxfId="3" priority="134">
      <x:formula>$B30="日"</x:formula>
    </x:cfRule>
    <x:cfRule type="timePeriod" dxfId="1" priority="135" timePeriod="lastMonth">
      <x:formula>AND(MONTH(I30)=MONTH(EDATE(TODAY(),0-1)),YEAR(I30)=YEAR(EDATE(TODAY(),0-1)))</x:formula>
    </x:cfRule>
  </x:conditionalFormatting>
  <x:conditionalFormatting sqref="J30:J30">
    <x:cfRule type="expression" dxfId="3" priority="331">
      <x:formula>$B30="土"</x:formula>
    </x:cfRule>
    <x:cfRule type="expression" dxfId="3" priority="332">
      <x:formula>$B30="日"</x:formula>
    </x:cfRule>
    <x:cfRule type="timePeriod" dxfId="1" priority="333" timePeriod="lastMonth">
      <x:formula>AND(MONTH(J30)=MONTH(EDATE(TODAY(),0-1)),YEAR(J30)=YEAR(EDATE(TODAY(),0-1)))</x:formula>
    </x:cfRule>
  </x:conditionalFormatting>
  <x:conditionalFormatting sqref="K30:K30">
    <x:cfRule type="timePeriod" dxfId="1" priority="329" timePeriod="lastMonth">
      <x:formula>AND(MONTH(K30)=MONTH(EDATE(TODAY(),0-1)),YEAR(K30)=YEAR(EDATE(TODAY(),0-1)))</x:formula>
    </x:cfRule>
    <x:cfRule type="expression" dxfId="3" priority="330">
      <x:formula>WEEKDAY(K$10)=L$4</x:formula>
    </x:cfRule>
  </x:conditionalFormatting>
  <x:conditionalFormatting sqref="C31:F31">
    <x:cfRule type="timePeriod" dxfId="1" priority="130" timePeriod="lastMonth">
      <x:formula>AND(MONTH(C31)=MONTH(EDATE(TODAY(),0-1)),YEAR(C31)=YEAR(EDATE(TODAY(),0-1)))</x:formula>
    </x:cfRule>
    <x:cfRule type="expression" dxfId="3" priority="131">
      <x:formula>$B31="土"</x:formula>
    </x:cfRule>
    <x:cfRule type="expression" dxfId="3" priority="132">
      <x:formula>$B31="日"</x:formula>
    </x:cfRule>
  </x:conditionalFormatting>
  <x:conditionalFormatting sqref="G31:G31">
    <x:cfRule type="expression" dxfId="3" priority="127">
      <x:formula>$B31="土"</x:formula>
    </x:cfRule>
    <x:cfRule type="expression" dxfId="3" priority="128">
      <x:formula>$B31="日"</x:formula>
    </x:cfRule>
    <x:cfRule type="timePeriod" dxfId="1" priority="129" timePeriod="lastMonth">
      <x:formula>AND(MONTH(G31)=MONTH(EDATE(TODAY(),0-1)),YEAR(G31)=YEAR(EDATE(TODAY(),0-1)))</x:formula>
    </x:cfRule>
  </x:conditionalFormatting>
  <x:conditionalFormatting sqref="I31:I31">
    <x:cfRule type="expression" dxfId="3" priority="31">
      <x:formula>$B31="土"</x:formula>
    </x:cfRule>
    <x:cfRule type="expression" dxfId="3" priority="32">
      <x:formula>$B31="日"</x:formula>
    </x:cfRule>
    <x:cfRule type="timePeriod" dxfId="1" priority="33" timePeriod="lastMonth">
      <x:formula>AND(MONTH(I31)=MONTH(EDATE(TODAY(),0-1)),YEAR(I31)=YEAR(EDATE(TODAY(),0-1)))</x:formula>
    </x:cfRule>
  </x:conditionalFormatting>
  <x:conditionalFormatting sqref="J31:J31">
    <x:cfRule type="expression" dxfId="3" priority="356">
      <x:formula>$B31="土"</x:formula>
    </x:cfRule>
    <x:cfRule type="expression" dxfId="3" priority="357">
      <x:formula>$B31="日"</x:formula>
    </x:cfRule>
    <x:cfRule type="timePeriod" dxfId="1" priority="358" timePeriod="lastMonth">
      <x:formula>AND(MONTH(J31)=MONTH(EDATE(TODAY(),0-1)),YEAR(J31)=YEAR(EDATE(TODAY(),0-1)))</x:formula>
    </x:cfRule>
  </x:conditionalFormatting>
  <x:conditionalFormatting sqref="K31:K31">
    <x:cfRule type="timePeriod" dxfId="1" priority="354" timePeriod="lastMonth">
      <x:formula>AND(MONTH(K31)=MONTH(EDATE(TODAY(),0-1)),YEAR(K31)=YEAR(EDATE(TODAY(),0-1)))</x:formula>
    </x:cfRule>
    <x:cfRule type="expression" dxfId="3" priority="355">
      <x:formula>WEEKDAY(K$10)=L$4</x:formula>
    </x:cfRule>
  </x:conditionalFormatting>
  <x:conditionalFormatting sqref="I32:I32">
    <x:cfRule type="expression" dxfId="3" priority="28">
      <x:formula>$B32="土"</x:formula>
    </x:cfRule>
    <x:cfRule type="expression" dxfId="3" priority="29">
      <x:formula>$B32="日"</x:formula>
    </x:cfRule>
    <x:cfRule type="timePeriod" dxfId="1" priority="30" timePeriod="lastMonth">
      <x:formula>AND(MONTH(I32)=MONTH(EDATE(TODAY(),0-1)),YEAR(I32)=YEAR(EDATE(TODAY(),0-1)))</x:formula>
    </x:cfRule>
  </x:conditionalFormatting>
  <x:conditionalFormatting sqref="I33:I33">
    <x:cfRule type="expression" dxfId="3" priority="25">
      <x:formula>$B33="土"</x:formula>
    </x:cfRule>
    <x:cfRule type="expression" dxfId="3" priority="26">
      <x:formula>$B33="日"</x:formula>
    </x:cfRule>
    <x:cfRule type="timePeriod" dxfId="1" priority="27" timePeriod="lastMonth">
      <x:formula>AND(MONTH(I33)=MONTH(EDATE(TODAY(),0-1)),YEAR(I33)=YEAR(EDATE(TODAY(),0-1)))</x:formula>
    </x:cfRule>
  </x:conditionalFormatting>
  <x:conditionalFormatting sqref="C34:F34">
    <x:cfRule type="timePeriod" dxfId="1" priority="124" timePeriod="lastMonth">
      <x:formula>AND(MONTH(C34)=MONTH(EDATE(TODAY(),0-1)),YEAR(C34)=YEAR(EDATE(TODAY(),0-1)))</x:formula>
    </x:cfRule>
    <x:cfRule type="expression" dxfId="3" priority="125">
      <x:formula>$B34="土"</x:formula>
    </x:cfRule>
    <x:cfRule type="expression" dxfId="3" priority="126">
      <x:formula>$B34="日"</x:formula>
    </x:cfRule>
  </x:conditionalFormatting>
  <x:conditionalFormatting sqref="G34:G34">
    <x:cfRule type="expression" dxfId="3" priority="121">
      <x:formula>$B34="土"</x:formula>
    </x:cfRule>
    <x:cfRule type="expression" dxfId="3" priority="122">
      <x:formula>$B34="日"</x:formula>
    </x:cfRule>
    <x:cfRule type="timePeriod" dxfId="1" priority="123" timePeriod="lastMonth">
      <x:formula>AND(MONTH(G34)=MONTH(EDATE(TODAY(),0-1)),YEAR(G34)=YEAR(EDATE(TODAY(),0-1)))</x:formula>
    </x:cfRule>
  </x:conditionalFormatting>
  <x:conditionalFormatting sqref="I34:I34">
    <x:cfRule type="expression" dxfId="3" priority="22">
      <x:formula>$B34="土"</x:formula>
    </x:cfRule>
    <x:cfRule type="expression" dxfId="3" priority="23">
      <x:formula>$B34="日"</x:formula>
    </x:cfRule>
    <x:cfRule type="timePeriod" dxfId="1" priority="24" timePeriod="lastMonth">
      <x:formula>AND(MONTH(I34)=MONTH(EDATE(TODAY(),0-1)),YEAR(I34)=YEAR(EDATE(TODAY(),0-1)))</x:formula>
    </x:cfRule>
  </x:conditionalFormatting>
  <x:conditionalFormatting sqref="C35:F35">
    <x:cfRule type="timePeriod" dxfId="1" priority="118" timePeriod="lastMonth">
      <x:formula>AND(MONTH(C35)=MONTH(EDATE(TODAY(),0-1)),YEAR(C35)=YEAR(EDATE(TODAY(),0-1)))</x:formula>
    </x:cfRule>
    <x:cfRule type="expression" dxfId="3" priority="119">
      <x:formula>$B35="土"</x:formula>
    </x:cfRule>
    <x:cfRule type="expression" dxfId="3" priority="120">
      <x:formula>$B35="日"</x:formula>
    </x:cfRule>
  </x:conditionalFormatting>
  <x:conditionalFormatting sqref="G35:G35">
    <x:cfRule type="expression" dxfId="3" priority="115">
      <x:formula>$B35="土"</x:formula>
    </x:cfRule>
    <x:cfRule type="expression" dxfId="3" priority="116">
      <x:formula>$B35="日"</x:formula>
    </x:cfRule>
    <x:cfRule type="timePeriod" dxfId="1" priority="117" timePeriod="lastMonth">
      <x:formula>AND(MONTH(G35)=MONTH(EDATE(TODAY(),0-1)),YEAR(G35)=YEAR(EDATE(TODAY(),0-1)))</x:formula>
    </x:cfRule>
  </x:conditionalFormatting>
  <x:conditionalFormatting sqref="I35:I35">
    <x:cfRule type="expression" dxfId="3" priority="19">
      <x:formula>$B35="土"</x:formula>
    </x:cfRule>
    <x:cfRule type="expression" dxfId="3" priority="20">
      <x:formula>$B35="日"</x:formula>
    </x:cfRule>
    <x:cfRule type="timePeriod" dxfId="1" priority="21" timePeriod="lastMonth">
      <x:formula>AND(MONTH(I35)=MONTH(EDATE(TODAY(),0-1)),YEAR(I35)=YEAR(EDATE(TODAY(),0-1)))</x:formula>
    </x:cfRule>
  </x:conditionalFormatting>
  <x:conditionalFormatting sqref="C36:F36">
    <x:cfRule type="timePeriod" dxfId="1" priority="112" timePeriod="lastMonth">
      <x:formula>AND(MONTH(C36)=MONTH(EDATE(TODAY(),0-1)),YEAR(C36)=YEAR(EDATE(TODAY(),0-1)))</x:formula>
    </x:cfRule>
    <x:cfRule type="expression" dxfId="3" priority="113">
      <x:formula>$B36="土"</x:formula>
    </x:cfRule>
    <x:cfRule type="expression" dxfId="3" priority="114">
      <x:formula>$B36="日"</x:formula>
    </x:cfRule>
  </x:conditionalFormatting>
  <x:conditionalFormatting sqref="G36:G36">
    <x:cfRule type="expression" dxfId="3" priority="109">
      <x:formula>$B36="土"</x:formula>
    </x:cfRule>
    <x:cfRule type="expression" dxfId="3" priority="110">
      <x:formula>$B36="日"</x:formula>
    </x:cfRule>
    <x:cfRule type="timePeriod" dxfId="1" priority="111" timePeriod="lastMonth">
      <x:formula>AND(MONTH(G36)=MONTH(EDATE(TODAY(),0-1)),YEAR(G36)=YEAR(EDATE(TODAY(),0-1)))</x:formula>
    </x:cfRule>
  </x:conditionalFormatting>
  <x:conditionalFormatting sqref="H36:H36">
    <x:cfRule type="expression" dxfId="3" priority="106">
      <x:formula>$B36="土"</x:formula>
    </x:cfRule>
    <x:cfRule type="expression" dxfId="3" priority="107">
      <x:formula>$B36="日"</x:formula>
    </x:cfRule>
    <x:cfRule type="timePeriod" dxfId="1" priority="108" timePeriod="lastMonth">
      <x:formula>AND(MONTH(H36)=MONTH(EDATE(TODAY(),0-1)),YEAR(H36)=YEAR(EDATE(TODAY(),0-1)))</x:formula>
    </x:cfRule>
  </x:conditionalFormatting>
  <x:conditionalFormatting sqref="I36:I36">
    <x:cfRule type="expression" dxfId="3" priority="103">
      <x:formula>$B36="土"</x:formula>
    </x:cfRule>
    <x:cfRule type="expression" dxfId="3" priority="104">
      <x:formula>$B36="日"</x:formula>
    </x:cfRule>
    <x:cfRule type="timePeriod" dxfId="1" priority="105" timePeriod="lastMonth">
      <x:formula>AND(MONTH(I36)=MONTH(EDATE(TODAY(),0-1)),YEAR(I36)=YEAR(EDATE(TODAY(),0-1)))</x:formula>
    </x:cfRule>
  </x:conditionalFormatting>
  <x:conditionalFormatting sqref="J36:J36">
    <x:cfRule type="expression" dxfId="3" priority="326">
      <x:formula>$B36="土"</x:formula>
    </x:cfRule>
    <x:cfRule type="expression" dxfId="3" priority="327">
      <x:formula>$B36="日"</x:formula>
    </x:cfRule>
    <x:cfRule type="timePeriod" dxfId="1" priority="328" timePeriod="lastMonth">
      <x:formula>AND(MONTH(J36)=MONTH(EDATE(TODAY(),0-1)),YEAR(J36)=YEAR(EDATE(TODAY(),0-1)))</x:formula>
    </x:cfRule>
  </x:conditionalFormatting>
  <x:conditionalFormatting sqref="K36:K36">
    <x:cfRule type="timePeriod" dxfId="1" priority="324" timePeriod="lastMonth">
      <x:formula>AND(MONTH(K36)=MONTH(EDATE(TODAY(),0-1)),YEAR(K36)=YEAR(EDATE(TODAY(),0-1)))</x:formula>
    </x:cfRule>
    <x:cfRule type="expression" dxfId="3" priority="325">
      <x:formula>WEEKDAY(K$10)=L$4</x:formula>
    </x:cfRule>
  </x:conditionalFormatting>
  <x:conditionalFormatting sqref="C37:F37">
    <x:cfRule type="timePeriod" dxfId="1" priority="100" timePeriod="lastMonth">
      <x:formula>AND(MONTH(C37)=MONTH(EDATE(TODAY(),0-1)),YEAR(C37)=YEAR(EDATE(TODAY(),0-1)))</x:formula>
    </x:cfRule>
    <x:cfRule type="expression" dxfId="3" priority="101">
      <x:formula>$B37="土"</x:formula>
    </x:cfRule>
    <x:cfRule type="expression" dxfId="3" priority="102">
      <x:formula>$B37="日"</x:formula>
    </x:cfRule>
  </x:conditionalFormatting>
  <x:conditionalFormatting sqref="G37:G37">
    <x:cfRule type="expression" dxfId="3" priority="97">
      <x:formula>$B37="土"</x:formula>
    </x:cfRule>
    <x:cfRule type="expression" dxfId="3" priority="98">
      <x:formula>$B37="日"</x:formula>
    </x:cfRule>
    <x:cfRule type="timePeriod" dxfId="1" priority="99" timePeriod="lastMonth">
      <x:formula>AND(MONTH(G37)=MONTH(EDATE(TODAY(),0-1)),YEAR(G37)=YEAR(EDATE(TODAY(),0-1)))</x:formula>
    </x:cfRule>
  </x:conditionalFormatting>
  <x:conditionalFormatting sqref="H37:H37">
    <x:cfRule type="expression" dxfId="3" priority="94">
      <x:formula>$B37="土"</x:formula>
    </x:cfRule>
    <x:cfRule type="expression" dxfId="3" priority="95">
      <x:formula>$B37="日"</x:formula>
    </x:cfRule>
    <x:cfRule type="timePeriod" dxfId="1" priority="96" timePeriod="lastMonth">
      <x:formula>AND(MONTH(H37)=MONTH(EDATE(TODAY(),0-1)),YEAR(H37)=YEAR(EDATE(TODAY(),0-1)))</x:formula>
    </x:cfRule>
  </x:conditionalFormatting>
  <x:conditionalFormatting sqref="I37:I37">
    <x:cfRule type="expression" dxfId="3" priority="91">
      <x:formula>$B37="土"</x:formula>
    </x:cfRule>
    <x:cfRule type="expression" dxfId="3" priority="92">
      <x:formula>$B37="日"</x:formula>
    </x:cfRule>
    <x:cfRule type="timePeriod" dxfId="1" priority="93" timePeriod="lastMonth">
      <x:formula>AND(MONTH(I37)=MONTH(EDATE(TODAY(),0-1)),YEAR(I37)=YEAR(EDATE(TODAY(),0-1)))</x:formula>
    </x:cfRule>
  </x:conditionalFormatting>
  <x:conditionalFormatting sqref="J37:J37">
    <x:cfRule type="expression" dxfId="3" priority="321">
      <x:formula>$B37="土"</x:formula>
    </x:cfRule>
    <x:cfRule type="expression" dxfId="3" priority="322">
      <x:formula>$B37="日"</x:formula>
    </x:cfRule>
    <x:cfRule type="timePeriod" dxfId="1" priority="323" timePeriod="lastMonth">
      <x:formula>AND(MONTH(J37)=MONTH(EDATE(TODAY(),0-1)),YEAR(J37)=YEAR(EDATE(TODAY(),0-1)))</x:formula>
    </x:cfRule>
  </x:conditionalFormatting>
  <x:conditionalFormatting sqref="K37:K37">
    <x:cfRule type="timePeriod" dxfId="1" priority="319" timePeriod="lastMonth">
      <x:formula>AND(MONTH(K37)=MONTH(EDATE(TODAY(),0-1)),YEAR(K37)=YEAR(EDATE(TODAY(),0-1)))</x:formula>
    </x:cfRule>
    <x:cfRule type="expression" dxfId="3" priority="320">
      <x:formula>WEEKDAY(K$10)=L$4</x:formula>
    </x:cfRule>
  </x:conditionalFormatting>
  <x:conditionalFormatting sqref="C38:F38">
    <x:cfRule type="timePeriod" dxfId="1" priority="88" timePeriod="lastMonth">
      <x:formula>AND(MONTH(C38)=MONTH(EDATE(TODAY(),0-1)),YEAR(C38)=YEAR(EDATE(TODAY(),0-1)))</x:formula>
    </x:cfRule>
    <x:cfRule type="expression" dxfId="3" priority="89">
      <x:formula>$B38="土"</x:formula>
    </x:cfRule>
    <x:cfRule type="expression" dxfId="3" priority="90">
      <x:formula>$B38="日"</x:formula>
    </x:cfRule>
  </x:conditionalFormatting>
  <x:conditionalFormatting sqref="G38:G38">
    <x:cfRule type="expression" dxfId="3" priority="85">
      <x:formula>$B38="土"</x:formula>
    </x:cfRule>
    <x:cfRule type="expression" dxfId="3" priority="86">
      <x:formula>$B38="日"</x:formula>
    </x:cfRule>
    <x:cfRule type="timePeriod" dxfId="1" priority="87" timePeriod="lastMonth">
      <x:formula>AND(MONTH(G38)=MONTH(EDATE(TODAY(),0-1)),YEAR(G38)=YEAR(EDATE(TODAY(),0-1)))</x:formula>
    </x:cfRule>
  </x:conditionalFormatting>
  <x:conditionalFormatting sqref="J38:J38">
    <x:cfRule type="expression" dxfId="3" priority="351">
      <x:formula>$B38="土"</x:formula>
    </x:cfRule>
    <x:cfRule type="expression" dxfId="3" priority="352">
      <x:formula>$B38="日"</x:formula>
    </x:cfRule>
    <x:cfRule type="timePeriod" dxfId="1" priority="353" timePeriod="lastMonth">
      <x:formula>AND(MONTH(J38)=MONTH(EDATE(TODAY(),0-1)),YEAR(J38)=YEAR(EDATE(TODAY(),0-1)))</x:formula>
    </x:cfRule>
  </x:conditionalFormatting>
  <x:conditionalFormatting sqref="K38:K38">
    <x:cfRule type="timePeriod" dxfId="1" priority="349" timePeriod="lastMonth">
      <x:formula>AND(MONTH(K38)=MONTH(EDATE(TODAY(),0-1)),YEAR(K38)=YEAR(EDATE(TODAY(),0-1)))</x:formula>
    </x:cfRule>
    <x:cfRule type="expression" dxfId="3" priority="350">
      <x:formula>WEEKDAY(K$10)=L$4</x:formula>
    </x:cfRule>
  </x:conditionalFormatting>
  <x:conditionalFormatting sqref="C39:E39">
    <x:cfRule type="timePeriod" dxfId="1" priority="266" timePeriod="lastMonth">
      <x:formula>AND(MONTH(C39)=MONTH(EDATE(TODAY(),0-1)),YEAR(C39)=YEAR(EDATE(TODAY(),0-1)))</x:formula>
    </x:cfRule>
    <x:cfRule type="expression" dxfId="3" priority="267">
      <x:formula>$B39="土"</x:formula>
    </x:cfRule>
    <x:cfRule type="expression" dxfId="3" priority="268">
      <x:formula>$B39="日"</x:formula>
    </x:cfRule>
  </x:conditionalFormatting>
  <x:conditionalFormatting sqref="F39:F39">
    <x:cfRule type="timePeriod" dxfId="1" priority="79" timePeriod="lastMonth">
      <x:formula>AND(MONTH(F39)=MONTH(EDATE(TODAY(),0-1)),YEAR(F39)=YEAR(EDATE(TODAY(),0-1)))</x:formula>
    </x:cfRule>
    <x:cfRule type="expression" dxfId="3" priority="80">
      <x:formula>$B39="土"</x:formula>
    </x:cfRule>
    <x:cfRule type="expression" dxfId="3" priority="81">
      <x:formula>$B39="日"</x:formula>
    </x:cfRule>
  </x:conditionalFormatting>
  <x:conditionalFormatting sqref="G39:G39">
    <x:cfRule type="expression" dxfId="3" priority="263">
      <x:formula>$B39="土"</x:formula>
    </x:cfRule>
    <x:cfRule type="expression" dxfId="3" priority="264">
      <x:formula>$B39="日"</x:formula>
    </x:cfRule>
    <x:cfRule type="timePeriod" dxfId="1" priority="265" timePeriod="lastMonth">
      <x:formula>AND(MONTH(G39)=MONTH(EDATE(TODAY(),0-1)),YEAR(G39)=YEAR(EDATE(TODAY(),0-1)))</x:formula>
    </x:cfRule>
  </x:conditionalFormatting>
  <x:conditionalFormatting sqref="J39:J39">
    <x:cfRule type="expression" dxfId="3" priority="346">
      <x:formula>$B39="土"</x:formula>
    </x:cfRule>
    <x:cfRule type="expression" dxfId="3" priority="347">
      <x:formula>$B39="日"</x:formula>
    </x:cfRule>
    <x:cfRule type="timePeriod" dxfId="1" priority="348" timePeriod="lastMonth">
      <x:formula>AND(MONTH(J39)=MONTH(EDATE(TODAY(),0-1)),YEAR(J39)=YEAR(EDATE(TODAY(),0-1)))</x:formula>
    </x:cfRule>
  </x:conditionalFormatting>
  <x:conditionalFormatting sqref="K39:K39">
    <x:cfRule type="timePeriod" dxfId="1" priority="344" timePeriod="lastMonth">
      <x:formula>AND(MONTH(K39)=MONTH(EDATE(TODAY(),0-1)),YEAR(K39)=YEAR(EDATE(TODAY(),0-1)))</x:formula>
    </x:cfRule>
    <x:cfRule type="expression" dxfId="3" priority="345">
      <x:formula>WEEKDAY(K$10)=L$4</x:formula>
    </x:cfRule>
  </x:conditionalFormatting>
  <x:conditionalFormatting sqref="A25:A29">
    <x:cfRule type="expression" dxfId="3" priority="307">
      <x:formula>$B25="土"</x:formula>
    </x:cfRule>
    <x:cfRule type="expression" dxfId="3" priority="308">
      <x:formula>$B25="日"</x:formula>
    </x:cfRule>
  </x:conditionalFormatting>
  <x:conditionalFormatting sqref="B25:B26">
    <x:cfRule type="expression" dxfId="3" priority="387">
      <x:formula>$B25="土"</x:formula>
    </x:cfRule>
    <x:cfRule type="expression" dxfId="3" priority="388">
      <x:formula>$B25="日"</x:formula>
    </x:cfRule>
  </x:conditionalFormatting>
  <x:conditionalFormatting sqref="F10:F14">
    <x:cfRule type="timePeriod" dxfId="1" priority="82" timePeriod="lastMonth">
      <x:formula>AND(MONTH(F10)=MONTH(EDATE(TODAY(),0-1)),YEAR(F10)=YEAR(EDATE(TODAY(),0-1)))</x:formula>
    </x:cfRule>
    <x:cfRule type="expression" dxfId="3" priority="83">
      <x:formula>$B10="土"</x:formula>
    </x:cfRule>
    <x:cfRule type="expression" dxfId="3" priority="84">
      <x:formula>$B10="日"</x:formula>
    </x:cfRule>
  </x:conditionalFormatting>
  <x:conditionalFormatting sqref="G18:G19">
    <x:cfRule type="expression" dxfId="3" priority="293">
      <x:formula>$B18="土"</x:formula>
    </x:cfRule>
    <x:cfRule type="expression" dxfId="3" priority="294">
      <x:formula>$B18="日"</x:formula>
    </x:cfRule>
    <x:cfRule type="timePeriod" dxfId="1" priority="295" timePeriod="lastMonth">
      <x:formula>AND(MONTH(G18)=MONTH(EDATE(TODAY(),0-1)),YEAR(G18)=YEAR(EDATE(TODAY(),0-1)))</x:formula>
    </x:cfRule>
  </x:conditionalFormatting>
  <x:conditionalFormatting sqref="G32:G33">
    <x:cfRule type="expression" dxfId="3" priority="282">
      <x:formula>$B32="土"</x:formula>
    </x:cfRule>
    <x:cfRule type="expression" dxfId="3" priority="283">
      <x:formula>$B32="日"</x:formula>
    </x:cfRule>
    <x:cfRule type="timePeriod" dxfId="1" priority="284" timePeriod="lastMonth">
      <x:formula>AND(MONTH(G32)=MONTH(EDATE(TODAY(),0-1)),YEAR(G32)=YEAR(EDATE(TODAY(),0-1)))</x:formula>
    </x:cfRule>
  </x:conditionalFormatting>
  <x:conditionalFormatting sqref="I38:I39">
    <x:cfRule type="expression" dxfId="3" priority="16">
      <x:formula>$B38="土"</x:formula>
    </x:cfRule>
    <x:cfRule type="expression" dxfId="3" priority="17">
      <x:formula>$B38="日"</x:formula>
    </x:cfRule>
    <x:cfRule type="timePeriod" dxfId="1" priority="18" timePeriod="lastMonth">
      <x:formula>AND(MONTH(I38)=MONTH(EDATE(TODAY(),0-1)),YEAR(I38)=YEAR(EDATE(TODAY(),0-1)))</x:formula>
    </x:cfRule>
  </x:conditionalFormatting>
  <x:conditionalFormatting sqref="J25:J29">
    <x:cfRule type="timePeriod" dxfId="1" priority="304" timePeriod="lastMonth">
      <x:formula>AND(MONTH(J25)=MONTH(EDATE(TODAY(),0-1)),YEAR(J25)=YEAR(EDATE(TODAY(),0-1)))</x:formula>
    </x:cfRule>
    <x:cfRule type="expression" dxfId="3" priority="305">
      <x:formula>$B25="土"</x:formula>
    </x:cfRule>
    <x:cfRule type="expression" dxfId="3" priority="306">
      <x:formula>$B25="日"</x:formula>
    </x:cfRule>
  </x:conditionalFormatting>
  <x:conditionalFormatting sqref="J32:J35">
    <x:cfRule type="expression" dxfId="3" priority="279">
      <x:formula>$B32="土"</x:formula>
    </x:cfRule>
    <x:cfRule type="expression" dxfId="3" priority="280">
      <x:formula>$B32="日"</x:formula>
    </x:cfRule>
    <x:cfRule type="timePeriod" dxfId="1" priority="281" timePeriod="lastMonth">
      <x:formula>AND(MONTH(J32)=MONTH(EDATE(TODAY(),0-1)),YEAR(J32)=YEAR(EDATE(TODAY(),0-1)))</x:formula>
    </x:cfRule>
  </x:conditionalFormatting>
  <x:conditionalFormatting sqref="K11:K12">
    <x:cfRule type="timePeriod" dxfId="1" priority="364" timePeriod="lastMonth">
      <x:formula>AND(MONTH(K11)=MONTH(EDATE(TODAY(),0-1)),YEAR(K11)=YEAR(EDATE(TODAY(),0-1)))</x:formula>
    </x:cfRule>
    <x:cfRule type="expression" dxfId="3" priority="365">
      <x:formula>WEEKDAY(K$10)=L$4</x:formula>
    </x:cfRule>
  </x:conditionalFormatting>
  <x:conditionalFormatting sqref="K13:K14">
    <x:cfRule type="expression" dxfId="3" priority="252">
      <x:formula>$B13="土"</x:formula>
    </x:cfRule>
    <x:cfRule type="expression" dxfId="3" priority="253">
      <x:formula>$B13="日"</x:formula>
    </x:cfRule>
    <x:cfRule type="timePeriod" dxfId="1" priority="254" timePeriod="lastMonth">
      <x:formula>AND(MONTH(K13)=MONTH(EDATE(TODAY(),0-1)),YEAR(K13)=YEAR(EDATE(TODAY(),0-1)))</x:formula>
    </x:cfRule>
  </x:conditionalFormatting>
  <x:conditionalFormatting sqref="K27:K28">
    <x:cfRule type="expression" dxfId="3" priority="246">
      <x:formula>$B27="土"</x:formula>
    </x:cfRule>
    <x:cfRule type="expression" dxfId="3" priority="247">
      <x:formula>$B27="日"</x:formula>
    </x:cfRule>
    <x:cfRule type="timePeriod" dxfId="1" priority="248" timePeriod="lastMonth">
      <x:formula>AND(MONTH(K27)=MONTH(EDATE(TODAY(),0-1)),YEAR(K27)=YEAR(EDATE(TODAY(),0-1)))</x:formula>
    </x:cfRule>
  </x:conditionalFormatting>
  <x:conditionalFormatting sqref="K32:K33">
    <x:cfRule type="timePeriod" dxfId="1" priority="277" timePeriod="lastMonth">
      <x:formula>AND(MONTH(K32)=MONTH(EDATE(TODAY(),0-1)),YEAR(K32)=YEAR(EDATE(TODAY(),0-1)))</x:formula>
    </x:cfRule>
    <x:cfRule type="expression" dxfId="3" priority="278">
      <x:formula>WEEKDAY(K$10)=L$4</x:formula>
    </x:cfRule>
  </x:conditionalFormatting>
  <x:conditionalFormatting sqref="K34:K35">
    <x:cfRule type="expression" dxfId="3" priority="243">
      <x:formula>$B34="土"</x:formula>
    </x:cfRule>
    <x:cfRule type="expression" dxfId="3" priority="244">
      <x:formula>$B34="日"</x:formula>
    </x:cfRule>
    <x:cfRule type="timePeriod" dxfId="1" priority="245" timePeriod="lastMonth">
      <x:formula>AND(MONTH(K34)=MONTH(EDATE(TODAY(),0-1)),YEAR(K34)=YEAR(EDATE(TODAY(),0-1)))</x:formula>
    </x:cfRule>
  </x:conditionalFormatting>
  <x:conditionalFormatting sqref="A10:B19 A24:B24 A21:B22">
    <x:cfRule type="expression" dxfId="3" priority="389">
      <x:formula>$B10="土"</x:formula>
    </x:cfRule>
    <x:cfRule type="expression" dxfId="3" priority="390">
      <x:formula>$B10="日"</x:formula>
    </x:cfRule>
  </x:conditionalFormatting>
  <x:conditionalFormatting sqref="B10:B19 B21:B22 B24:B39">
    <x:cfRule type="timePeriod" dxfId="1" priority="391" timePeriod="lastMonth">
      <x:formula>AND(MONTH(B10)=MONTH(EDATE(TODAY(),0-1)),YEAR(B10)=YEAR(EDATE(TODAY(),0-1)))</x:formula>
    </x:cfRule>
  </x:conditionalFormatting>
  <x:conditionalFormatting sqref="C10:C10 J10:J10">
    <x:cfRule type="expression" dxfId="3" priority="234">
      <x:formula>$B10="土"</x:formula>
    </x:cfRule>
    <x:cfRule type="expression" dxfId="3" priority="235">
      <x:formula>$B10="日"</x:formula>
    </x:cfRule>
  </x:conditionalFormatting>
  <x:conditionalFormatting sqref="C15:F15 D11:E13 C14:E14">
    <x:cfRule type="timePeriod" dxfId="1" priority="378" timePeriod="lastMonth">
      <x:formula>AND(MONTH(C11)=MONTH(EDATE(TODAY(),0-1)),YEAR(C11)=YEAR(EDATE(TODAY(),0-1)))</x:formula>
    </x:cfRule>
    <x:cfRule type="expression" dxfId="3" priority="379">
      <x:formula>$B11="土"</x:formula>
    </x:cfRule>
    <x:cfRule type="expression" dxfId="3" priority="380">
      <x:formula>$B11="日"</x:formula>
    </x:cfRule>
  </x:conditionalFormatting>
  <x:conditionalFormatting sqref="C11:C11 J11:J11">
    <x:cfRule type="expression" dxfId="3" priority="372">
      <x:formula>$B11="土"</x:formula>
    </x:cfRule>
    <x:cfRule type="expression" dxfId="3" priority="373">
      <x:formula>$B11="日"</x:formula>
    </x:cfRule>
  </x:conditionalFormatting>
  <x:conditionalFormatting sqref="H14:J14 J16:J16 J12:J13">
    <x:cfRule type="expression" dxfId="3" priority="375">
      <x:formula>$B12="土"</x:formula>
    </x:cfRule>
    <x:cfRule type="expression" dxfId="3" priority="376">
      <x:formula>$B12="日"</x:formula>
    </x:cfRule>
    <x:cfRule type="timePeriod" dxfId="1" priority="377" timePeriod="lastMonth">
      <x:formula>AND(MONTH(H12)=MONTH(EDATE(TODAY(),0-1)),YEAR(H12)=YEAR(EDATE(TODAY(),0-1)))</x:formula>
    </x:cfRule>
  </x:conditionalFormatting>
  <x:conditionalFormatting sqref="C17:F17 F18:F19">
    <x:cfRule type="timePeriod" dxfId="1" priority="226" timePeriod="lastMonth">
      <x:formula>AND(MONTH(C17)=MONTH(EDATE(TODAY(),0-1)),YEAR(C17)=YEAR(EDATE(TODAY(),0-1)))</x:formula>
    </x:cfRule>
    <x:cfRule type="expression" dxfId="3" priority="227">
      <x:formula>$B17="土"</x:formula>
    </x:cfRule>
    <x:cfRule type="expression" dxfId="3" priority="228">
      <x:formula>$B17="日"</x:formula>
    </x:cfRule>
  </x:conditionalFormatting>
  <x:conditionalFormatting sqref="C18:E19">
    <x:cfRule type="timePeriod" dxfId="1" priority="296" timePeriod="lastMonth">
      <x:formula>AND(MONTH(C18)=MONTH(EDATE(TODAY(),0-1)),YEAR(C18)=YEAR(EDATE(TODAY(),0-1)))</x:formula>
    </x:cfRule>
    <x:cfRule type="expression" dxfId="3" priority="297">
      <x:formula>$B18="土"</x:formula>
    </x:cfRule>
    <x:cfRule type="expression" dxfId="3" priority="298">
      <x:formula>$B18="日"</x:formula>
    </x:cfRule>
  </x:conditionalFormatting>
  <x:conditionalFormatting sqref="J18:J19 J21:J22">
    <x:cfRule type="expression" dxfId="3" priority="290">
      <x:formula>$B18="土"</x:formula>
    </x:cfRule>
    <x:cfRule type="expression" dxfId="3" priority="291">
      <x:formula>$B18="日"</x:formula>
    </x:cfRule>
    <x:cfRule type="timePeriod" dxfId="1" priority="292" timePeriod="lastMonth">
      <x:formula>AND(MONTH(J18)=MONTH(EDATE(TODAY(),0-1)),YEAR(J18)=YEAR(EDATE(TODAY(),0-1)))</x:formula>
    </x:cfRule>
  </x:conditionalFormatting>
  <x:conditionalFormatting sqref="K18:K19 K22:K22">
    <x:cfRule type="timePeriod" dxfId="1" priority="288" timePeriod="lastMonth">
      <x:formula>AND(MONTH(K18)=MONTH(EDATE(TODAY(),0-1)),YEAR(K18)=YEAR(EDATE(TODAY(),0-1)))</x:formula>
    </x:cfRule>
    <x:cfRule type="expression" dxfId="3" priority="289">
      <x:formula>WEEKDAY(K$10)=L$4</x:formula>
    </x:cfRule>
  </x:conditionalFormatting>
  <x:conditionalFormatting sqref="C25:F26 C29:F29">
    <x:cfRule type="timePeriod" dxfId="1" priority="274" timePeriod="lastMonth">
      <x:formula>AND(MONTH(C25)=MONTH(EDATE(TODAY(),0-1)),YEAR(C25)=YEAR(EDATE(TODAY(),0-1)))</x:formula>
    </x:cfRule>
    <x:cfRule type="expression" dxfId="3" priority="275">
      <x:formula>$B25="土"</x:formula>
    </x:cfRule>
    <x:cfRule type="expression" dxfId="3" priority="276">
      <x:formula>$B25="日"</x:formula>
    </x:cfRule>
  </x:conditionalFormatting>
  <x:conditionalFormatting sqref="G25:G26 G29:G29">
    <x:cfRule type="expression" dxfId="3" priority="271">
      <x:formula>$B25="土"</x:formula>
    </x:cfRule>
    <x:cfRule type="expression" dxfId="3" priority="272">
      <x:formula>$B25="日"</x:formula>
    </x:cfRule>
    <x:cfRule type="timePeriod" dxfId="1" priority="273" timePeriod="lastMonth">
      <x:formula>AND(MONTH(G25)=MONTH(EDATE(TODAY(),0-1)),YEAR(G25)=YEAR(EDATE(TODAY(),0-1)))</x:formula>
    </x:cfRule>
  </x:conditionalFormatting>
  <x:conditionalFormatting sqref="K25:K26 K29:K29">
    <x:cfRule type="timePeriod" dxfId="1" priority="269" timePeriod="lastMonth">
      <x:formula>AND(MONTH(K25)=MONTH(EDATE(TODAY(),0-1)),YEAR(K25)=YEAR(EDATE(TODAY(),0-1)))</x:formula>
    </x:cfRule>
    <x:cfRule type="expression" dxfId="3" priority="270">
      <x:formula>WEEKDAY(K$10)=L$4</x:formula>
    </x:cfRule>
  </x:conditionalFormatting>
  <x:conditionalFormatting sqref="A30:B31 B27:B29 A39:B39">
    <x:cfRule type="expression" dxfId="3" priority="383">
      <x:formula>$B27="土"</x:formula>
    </x:cfRule>
    <x:cfRule type="expression" dxfId="3" priority="384">
      <x:formula>$B27="日"</x:formula>
    </x:cfRule>
  </x:conditionalFormatting>
  <x:conditionalFormatting sqref="A32:B33">
    <x:cfRule type="expression" dxfId="3" priority="385">
      <x:formula>$B32="土"</x:formula>
    </x:cfRule>
    <x:cfRule type="expression" dxfId="3" priority="386">
      <x:formula>$B32="日"</x:formula>
    </x:cfRule>
  </x:conditionalFormatting>
  <x:conditionalFormatting sqref="C32:F33">
    <x:cfRule type="timePeriod" dxfId="1" priority="285" timePeriod="lastMonth">
      <x:formula>AND(MONTH(C32)=MONTH(EDATE(TODAY(),0-1)),YEAR(C32)=YEAR(EDATE(TODAY(),0-1)))</x:formula>
    </x:cfRule>
    <x:cfRule type="expression" dxfId="3" priority="286">
      <x:formula>$B32="土"</x:formula>
    </x:cfRule>
    <x:cfRule type="expression" dxfId="3" priority="287">
      <x:formula>$B32="日"</x:formula>
    </x:cfRule>
  </x:conditionalFormatting>
  <x:conditionalFormatting sqref="A34:B38">
    <x:cfRule type="expression" dxfId="3" priority="381">
      <x:formula>$B34="土"</x:formula>
    </x:cfRule>
    <x:cfRule type="expression" dxfId="3" priority="382">
      <x:formula>$B34="日"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7" width="14.13888931274414" customWidth="1"/>
    <x:col min="8" max="8" width="15.712963104248047" customWidth="1"/>
    <x:col min="9" max="9" width="61.425926208496094" customWidth="1"/>
    <x:col min="10" max="10" width="17.425926208496094" customWidth="1"/>
    <x:col min="11" max="11" width="23.13888931274414" customWidth="1"/>
  </x:cols>
  <x:sheetData>
    <x:row r="5">
      <x:c r="A5" t="s">
        <x:v>27</x:v>
      </x:c>
      <x:c r="B5">
        <x:v>6</x:v>
      </x:c>
    </x:row>
    <x:row r="7">
      <x:c r="A7">
        <x:v>2026</x:v>
      </x:c>
      <x:c r="B7">
        <x:v>7</x:v>
      </x:c>
    </x:row>
    <x:row r="8">
      <x:c r="F8" s="1"/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33" t="n">
        <x:f>DATE(A7,B7,1)</x:f>
        <x:v>46204</x:v>
      </x:c>
      <x:c r="B10" s="34" t="str">
        <x:f t="shared" ref="B10:B40" si="0">TEXT(A10,"ddd")</x:f>
        <x:v>Wed</x:v>
      </x:c>
      <x:c r="C10" s="35">
        <x:v>0.333333333333333</x:v>
      </x:c>
      <x:c r="D10" s="35">
        <x:v>0.708333333333333</x:v>
      </x:c>
      <x:c r="E10" s="35">
        <x:v>0.0416666666666667</x:v>
      </x:c>
      <x:c r="F10" s="36" t="n">
        <x:f t="shared" ref="F10:F12" si="1">D10-C10-E10</x:f>
        <x:v>0.33333333333333337</x:v>
      </x:c>
      <x:c r="G10" s="37">
        <x:v>0.333333333333333</x:v>
      </x:c>
      <x:c r="H10" s="34" t="s">
        <x:v>20</x:v>
      </x:c>
      <x:c r="I10" s="34" t="s">
        <x:v>22</x:v>
      </x:c>
      <x:c r="J10" s="34"/>
      <x:c r="K10" s="42"/>
    </x:row>
    <x:row r="11">
      <x:c r="A11" s="33" t="n">
        <x:f t="shared" ref="A11:A40" si="2">A10+1</x:f>
        <x:v>46205</x:v>
      </x:c>
      <x:c r="B11" s="34" t="str">
        <x:f t="shared" si="0"/>
        <x:v>Thu</x:v>
      </x:c>
      <x:c r="C11" s="35">
        <x:v>0.333333333333333</x:v>
      </x:c>
      <x:c r="D11" s="35">
        <x:v>0.708333333333333</x:v>
      </x:c>
      <x:c r="E11" s="35">
        <x:v>0.0416666666666667</x:v>
      </x:c>
      <x:c r="F11" s="36">
        <x:f t="shared" si="1"/>
        <x:v>0.333333333333333</x:v>
      </x:c>
      <x:c r="G11" s="37">
        <x:v>0.333333333333333</x:v>
      </x:c>
      <x:c r="H11" s="34" t="s">
        <x:v>20</x:v>
      </x:c>
      <x:c r="I11" s="34" t="s">
        <x:v>22</x:v>
      </x:c>
      <x:c r="J11" s="34"/>
      <x:c r="K11" s="42"/>
    </x:row>
    <x:row r="12">
      <x:c r="A12" s="33">
        <x:f t="shared" si="2"/>
        <x:v>46206</x:v>
      </x:c>
      <x:c r="B12" s="34" t="str">
        <x:f t="shared" si="0"/>
        <x:v>Fri</x:v>
      </x:c>
      <x:c r="C12" s="35">
        <x:v>0.333333333333333</x:v>
      </x:c>
      <x:c r="D12" s="35">
        <x:v>0.708333333333333</x:v>
      </x:c>
      <x:c r="E12" s="35">
        <x:v>0.0416666666666667</x:v>
      </x:c>
      <x:c r="F12" s="36">
        <x:f t="shared" si="1"/>
        <x:v>0.333333333333333</x:v>
      </x:c>
      <x:c r="G12" s="37">
        <x:v>0.333333333333333</x:v>
      </x:c>
      <x:c r="H12" s="34" t="s">
        <x:v>20</x:v>
      </x:c>
      <x:c r="I12" s="34" t="s">
        <x:v>22</x:v>
      </x:c>
      <x:c r="J12" s="35"/>
      <x:c r="K12" s="42"/>
    </x:row>
    <x:row r="13">
      <x:c r="A13" s="38">
        <x:f t="shared" si="2"/>
        <x:v>46207</x:v>
      </x:c>
      <x:c r="B13" s="39" t="str">
        <x:f t="shared" si="0"/>
        <x:v>Sat</x:v>
      </x:c>
      <x:c r="C13" s="40"/>
      <x:c r="D13" s="40"/>
      <x:c r="E13" s="40"/>
      <x:c r="F13" s="40"/>
      <x:c r="G13" s="41"/>
      <x:c r="H13" s="39"/>
      <x:c r="I13" s="39"/>
      <x:c r="J13" s="40"/>
      <x:c r="K13" s="39"/>
    </x:row>
    <x:row r="14">
      <x:c r="A14" s="38">
        <x:f t="shared" si="2"/>
        <x:v>46208</x:v>
      </x:c>
      <x:c r="B14" s="39" t="str">
        <x:f t="shared" si="0"/>
        <x:v>Sun</x:v>
      </x:c>
      <x:c r="C14" s="40"/>
      <x:c r="D14" s="40"/>
      <x:c r="E14" s="40"/>
      <x:c r="F14" s="40"/>
      <x:c r="G14" s="41"/>
      <x:c r="H14" s="39"/>
      <x:c r="I14" s="39"/>
      <x:c r="J14" s="40"/>
      <x:c r="K14" s="39"/>
    </x:row>
    <x:row r="15" s="31" customFormat="1">
      <x:c r="A15" s="33">
        <x:f t="shared" si="2"/>
        <x:v>46209</x:v>
      </x:c>
      <x:c r="B15" s="34" t="str">
        <x:f t="shared" si="0"/>
        <x:v>Mon</x:v>
      </x:c>
      <x:c r="C15" s="35">
        <x:v>0.333333333333333</x:v>
      </x:c>
      <x:c r="D15" s="35">
        <x:v>0.708333333333333</x:v>
      </x:c>
      <x:c r="E15" s="35">
        <x:v>0.0416666666666667</x:v>
      </x:c>
      <x:c r="F15" s="36" t="n">
        <x:f t="shared" ref="F15:F17" si="3">D15-C15-E15</x:f>
        <x:v>0.33333333333333337</x:v>
      </x:c>
      <x:c r="G15" s="37">
        <x:v>0.333333333333333</x:v>
      </x:c>
      <x:c r="H15" s="34" t="s">
        <x:v>20</x:v>
      </x:c>
      <x:c r="I15" s="34" t="s">
        <x:v>22</x:v>
      </x:c>
      <x:c r="J15" s="35"/>
      <x:c r="K15" s="42"/>
    </x:row>
    <x:row r="16" s="31" customFormat="1">
      <x:c r="A16" s="33">
        <x:f t="shared" si="2"/>
        <x:v>46210</x:v>
      </x:c>
      <x:c r="B16" s="34" t="str">
        <x:f t="shared" si="0"/>
        <x:v>Tue</x:v>
      </x:c>
      <x:c r="C16" s="35">
        <x:v>0.333333333333333</x:v>
      </x:c>
      <x:c r="D16" s="35">
        <x:v>0.708333333333333</x:v>
      </x:c>
      <x:c r="E16" s="35">
        <x:v>0.0416666666666667</x:v>
      </x:c>
      <x:c r="F16" s="36">
        <x:f t="shared" si="3"/>
        <x:v>0.333333333333333</x:v>
      </x:c>
      <x:c r="G16" s="37">
        <x:v>0.333333333333333</x:v>
      </x:c>
      <x:c r="H16" s="34" t="s">
        <x:v>20</x:v>
      </x:c>
      <x:c r="I16" s="34" t="s">
        <x:v>22</x:v>
      </x:c>
      <x:c r="J16" s="35"/>
      <x:c r="K16" s="44"/>
    </x:row>
    <x:row r="17" s="31" customFormat="1">
      <x:c r="A17" s="33">
        <x:f t="shared" si="2"/>
        <x:v>46211</x:v>
      </x:c>
      <x:c r="B17" s="34" t="str">
        <x:f t="shared" si="0"/>
        <x:v>Wed</x:v>
      </x:c>
      <x:c r="C17" s="35">
        <x:v>0.333333333333333</x:v>
      </x:c>
      <x:c r="D17" s="35">
        <x:v>0.708333333333333</x:v>
      </x:c>
      <x:c r="E17" s="35">
        <x:v>0.0416666666666667</x:v>
      </x:c>
      <x:c r="F17" s="36">
        <x:f t="shared" si="3"/>
        <x:v>0.333333333333333</x:v>
      </x:c>
      <x:c r="G17" s="37">
        <x:v>0.333333333333333</x:v>
      </x:c>
      <x:c r="H17" s="34" t="s">
        <x:v>30</x:v>
      </x:c>
      <x:c r="I17" s="34" t="s">
        <x:v>31</x:v>
      </x:c>
      <x:c r="J17" s="34"/>
      <x:c r="K17" s="44"/>
    </x:row>
    <x:row r="18" s="31" customFormat="1">
      <x:c r="A18" s="33">
        <x:f t="shared" si="2"/>
        <x:v>46212</x:v>
      </x:c>
      <x:c r="B18" s="34" t="str">
        <x:f t="shared" si="0"/>
        <x:v>Thu</x:v>
      </x:c>
      <x:c r="C18" s="35">
        <x:v>0.333333333333333</x:v>
      </x:c>
      <x:c r="D18" s="35">
        <x:v>0.708333333333333</x:v>
      </x:c>
      <x:c r="E18" s="35">
        <x:v>0.0416666666666667</x:v>
      </x:c>
      <x:c r="F18" s="36" t="n">
        <x:f t="shared" ref="F18:F19" si="4">D18-C18-E18</x:f>
        <x:v>0.33333333333333337</x:v>
      </x:c>
      <x:c r="G18" s="37">
        <x:v>0.333333333333333</x:v>
      </x:c>
      <x:c r="H18" s="34" t="s">
        <x:v>20</x:v>
      </x:c>
      <x:c r="I18" s="34" t="s">
        <x:v>22</x:v>
      </x:c>
      <x:c r="J18" s="35"/>
      <x:c r="K18" s="42"/>
    </x:row>
    <x:row r="19" s="31" customFormat="1">
      <x:c r="A19" s="33">
        <x:f t="shared" si="2"/>
        <x:v>46213</x:v>
      </x:c>
      <x:c r="B19" s="34" t="str">
        <x:f t="shared" si="0"/>
        <x:v>Fri</x:v>
      </x:c>
      <x:c r="C19" s="35">
        <x:v>0.333333333333333</x:v>
      </x:c>
      <x:c r="D19" s="35">
        <x:v>0.708333333333333</x:v>
      </x:c>
      <x:c r="E19" s="35">
        <x:v>0.0416666666666667</x:v>
      </x:c>
      <x:c r="F19" s="36">
        <x:f t="shared" si="4"/>
        <x:v>0.333333333333333</x:v>
      </x:c>
      <x:c r="G19" s="37">
        <x:v>0.333333333333333</x:v>
      </x:c>
      <x:c r="H19" s="34" t="s">
        <x:v>20</x:v>
      </x:c>
      <x:c r="I19" s="34" t="s">
        <x:v>22</x:v>
      </x:c>
      <x:c r="J19" s="35"/>
      <x:c r="K19" s="42"/>
    </x:row>
    <x:row r="20" s="31" customFormat="1">
      <x:c r="A20" s="38">
        <x:f t="shared" si="2"/>
        <x:v>46214</x:v>
      </x:c>
      <x:c r="B20" s="39" t="str">
        <x:f t="shared" si="0"/>
        <x:v>Sat</x:v>
      </x:c>
      <x:c r="C20" s="40"/>
      <x:c r="D20" s="40"/>
      <x:c r="E20" s="40"/>
      <x:c r="F20" s="40"/>
      <x:c r="G20" s="41"/>
      <x:c r="H20" s="39"/>
      <x:c r="I20" s="39"/>
      <x:c r="J20" s="40"/>
      <x:c r="K20" s="39"/>
    </x:row>
    <x:row r="21" s="31" customFormat="1">
      <x:c r="A21" s="38">
        <x:f t="shared" si="2"/>
        <x:v>46215</x:v>
      </x:c>
      <x:c r="B21" s="39" t="str">
        <x:f t="shared" si="0"/>
        <x:v>Sun</x:v>
      </x:c>
      <x:c r="C21" s="40"/>
      <x:c r="D21" s="40"/>
      <x:c r="E21" s="40"/>
      <x:c r="F21" s="40"/>
      <x:c r="G21" s="41"/>
      <x:c r="H21" s="39"/>
      <x:c r="I21" s="39"/>
      <x:c r="J21" s="40"/>
      <x:c r="K21" s="39"/>
    </x:row>
    <x:row r="22" s="31" customFormat="1">
      <x:c r="A22" s="33">
        <x:f t="shared" si="2"/>
        <x:v>46216</x:v>
      </x:c>
      <x:c r="B22" s="34" t="str">
        <x:f t="shared" si="0"/>
        <x:v>Mon</x:v>
      </x:c>
      <x:c r="C22" s="35">
        <x:v>0.333333333333333</x:v>
      </x:c>
      <x:c r="D22" s="35">
        <x:v>0.708333333333333</x:v>
      </x:c>
      <x:c r="E22" s="35">
        <x:v>0.0416666666666667</x:v>
      </x:c>
      <x:c r="F22" s="36" t="n">
        <x:f t="shared" ref="F22:F23" si="5">D22-C22-E22</x:f>
        <x:v>0.33333333333333337</x:v>
      </x:c>
      <x:c r="G22" s="37">
        <x:v>0.333333333333333</x:v>
      </x:c>
      <x:c r="H22" s="34" t="s">
        <x:v>28</x:v>
      </x:c>
      <x:c r="I22" s="34" t="s">
        <x:v>29</x:v>
      </x:c>
      <x:c r="J22" s="35"/>
      <x:c r="K22" s="42"/>
    </x:row>
    <x:row r="23" s="31" customFormat="1">
      <x:c r="A23" s="33">
        <x:f t="shared" si="2"/>
        <x:v>46217</x:v>
      </x:c>
      <x:c r="B23" s="34" t="str">
        <x:f t="shared" si="0"/>
        <x:v>Tue</x:v>
      </x:c>
      <x:c r="C23" s="35">
        <x:v>0.333333333333333</x:v>
      </x:c>
      <x:c r="D23" s="35">
        <x:v>0.708333333333333</x:v>
      </x:c>
      <x:c r="E23" s="35">
        <x:v>0.0416666666666667</x:v>
      </x:c>
      <x:c r="F23" s="36">
        <x:f t="shared" si="5"/>
        <x:v>0.333333333333333</x:v>
      </x:c>
      <x:c r="G23" s="37">
        <x:v>0.333333333333333</x:v>
      </x:c>
      <x:c r="H23" s="34" t="s">
        <x:v>30</x:v>
      </x:c>
      <x:c r="I23" s="34" t="s">
        <x:v>31</x:v>
      </x:c>
      <x:c r="J23" s="35"/>
      <x:c r="K23" s="42"/>
    </x:row>
    <x:row r="24" s="31" customFormat="1">
      <x:c r="A24" s="33">
        <x:f t="shared" si="2"/>
        <x:v>46218</x:v>
      </x:c>
      <x:c r="B24" s="34" t="str">
        <x:f t="shared" si="0"/>
        <x:v>Wed</x:v>
      </x:c>
      <x:c r="C24" s="35">
        <x:v>0.333333333333333</x:v>
      </x:c>
      <x:c r="D24" s="35">
        <x:v>0.708333333333333</x:v>
      </x:c>
      <x:c r="E24" s="35">
        <x:v>0.0416666666666667</x:v>
      </x:c>
      <x:c r="F24" s="36" t="n">
        <x:f t="shared" ref="F24:F26" si="6">D24-C24-E24</x:f>
        <x:v>0.33333333333333337</x:v>
      </x:c>
      <x:c r="G24" s="37">
        <x:v>0.333333333333333</x:v>
      </x:c>
      <x:c r="H24" s="34" t="s">
        <x:v>30</x:v>
      </x:c>
      <x:c r="I24" s="34" t="s">
        <x:v>31</x:v>
      </x:c>
      <x:c r="J24" s="35"/>
      <x:c r="K24" s="42"/>
    </x:row>
    <x:row r="25" s="31" customFormat="1">
      <x:c r="A25" s="33">
        <x:f t="shared" si="2"/>
        <x:v>46219</x:v>
      </x:c>
      <x:c r="B25" s="34" t="str">
        <x:f t="shared" si="0"/>
        <x:v>Thu</x:v>
      </x:c>
      <x:c r="C25" s="35">
        <x:v>0.333333333333333</x:v>
      </x:c>
      <x:c r="D25" s="35">
        <x:v>0.708333333333333</x:v>
      </x:c>
      <x:c r="E25" s="35">
        <x:v>0.0416666666666667</x:v>
      </x:c>
      <x:c r="F25" s="36">
        <x:f t="shared" si="6"/>
        <x:v>0.333333333333333</x:v>
      </x:c>
      <x:c r="G25" s="37">
        <x:v>0.333333333333333</x:v>
      </x:c>
      <x:c r="H25" s="34" t="s">
        <x:v>30</x:v>
      </x:c>
      <x:c r="I25" s="34" t="s">
        <x:v>31</x:v>
      </x:c>
      <x:c r="J25" s="35"/>
      <x:c r="K25" s="42"/>
    </x:row>
    <x:row r="26" s="31" customFormat="1">
      <x:c r="A26" s="33">
        <x:f t="shared" si="2"/>
        <x:v>46220</x:v>
      </x:c>
      <x:c r="B26" s="34" t="str">
        <x:f t="shared" si="0"/>
        <x:v>Fri</x:v>
      </x:c>
      <x:c r="C26" s="35">
        <x:v>0.333333333333333</x:v>
      </x:c>
      <x:c r="D26" s="35">
        <x:v>0.708333333333333</x:v>
      </x:c>
      <x:c r="E26" s="35">
        <x:v>0.0416666666666667</x:v>
      </x:c>
      <x:c r="F26" s="36">
        <x:f t="shared" si="6"/>
        <x:v>0.333333333333333</x:v>
      </x:c>
      <x:c r="G26" s="37">
        <x:v>0.333333333333333</x:v>
      </x:c>
      <x:c r="H26" s="34" t="s">
        <x:v>28</x:v>
      </x:c>
      <x:c r="I26" s="34" t="s">
        <x:v>29</x:v>
      </x:c>
      <x:c r="J26" s="35"/>
      <x:c r="K26" s="42"/>
    </x:row>
    <x:row r="27" s="31" customFormat="1">
      <x:c r="A27" s="38">
        <x:f t="shared" si="2"/>
        <x:v>46221</x:v>
      </x:c>
      <x:c r="B27" s="39" t="str">
        <x:f t="shared" si="0"/>
        <x:v>Sat</x:v>
      </x:c>
      <x:c r="C27" s="40"/>
      <x:c r="D27" s="40"/>
      <x:c r="E27" s="40"/>
      <x:c r="F27" s="40"/>
      <x:c r="G27" s="41"/>
      <x:c r="H27" s="40"/>
      <x:c r="I27" s="39"/>
      <x:c r="J27" s="40"/>
      <x:c r="K27" s="39"/>
    </x:row>
    <x:row r="28" s="31" customFormat="1">
      <x:c r="A28" s="38">
        <x:f t="shared" si="2"/>
        <x:v>46222</x:v>
      </x:c>
      <x:c r="B28" s="39" t="str">
        <x:f t="shared" si="0"/>
        <x:v>Sun</x:v>
      </x:c>
      <x:c r="C28" s="40"/>
      <x:c r="D28" s="40"/>
      <x:c r="E28" s="40"/>
      <x:c r="F28" s="40"/>
      <x:c r="G28" s="41"/>
      <x:c r="H28" s="40"/>
      <x:c r="I28" s="39"/>
      <x:c r="J28" s="40"/>
      <x:c r="K28" s="39"/>
    </x:row>
    <x:row r="29" s="31" customFormat="1">
      <x:c r="A29" s="33">
        <x:f t="shared" si="2"/>
        <x:v>46223</x:v>
      </x:c>
      <x:c r="B29" s="34" t="str">
        <x:f t="shared" si="0"/>
        <x:v>Mon</x:v>
      </x:c>
      <x:c r="C29" s="35">
        <x:v>0.333333333333333</x:v>
      </x:c>
      <x:c r="D29" s="35">
        <x:v>0.708333333333333</x:v>
      </x:c>
      <x:c r="E29" s="35">
        <x:v>0.0416666666666667</x:v>
      </x:c>
      <x:c r="F29" s="36" t="n">
        <x:f t="shared" ref="F29:F33" si="7">D29-C29-E29</x:f>
        <x:v>0.33333333333333337</x:v>
      </x:c>
      <x:c r="G29" s="37">
        <x:v>0.333333333333333</x:v>
      </x:c>
      <x:c r="H29" s="34" t="s">
        <x:v>28</x:v>
      </x:c>
      <x:c r="I29" s="34" t="s">
        <x:v>29</x:v>
      </x:c>
      <x:c r="J29" s="35"/>
      <x:c r="K29" s="42"/>
    </x:row>
    <x:row r="30" s="31" customFormat="1">
      <x:c r="A30" s="33">
        <x:f t="shared" si="2"/>
        <x:v>46224</x:v>
      </x:c>
      <x:c r="B30" s="34" t="str">
        <x:f t="shared" si="0"/>
        <x:v>Tue</x:v>
      </x:c>
      <x:c r="C30" s="35">
        <x:v>0.333333333333333</x:v>
      </x:c>
      <x:c r="D30" s="35">
        <x:v>0.708333333333333</x:v>
      </x:c>
      <x:c r="E30" s="35">
        <x:v>0.0416666666666667</x:v>
      </x:c>
      <x:c r="F30" s="36">
        <x:f t="shared" si="7"/>
        <x:v>0.333333333333333</x:v>
      </x:c>
      <x:c r="G30" s="37">
        <x:v>0.333333333333333</x:v>
      </x:c>
      <x:c r="H30" s="34" t="s">
        <x:v>28</x:v>
      </x:c>
      <x:c r="I30" s="34" t="s">
        <x:v>29</x:v>
      </x:c>
      <x:c r="J30" s="35"/>
      <x:c r="K30" s="42"/>
    </x:row>
    <x:row r="31" s="31" customFormat="1">
      <x:c r="A31" s="33">
        <x:f t="shared" si="2"/>
        <x:v>46225</x:v>
      </x:c>
      <x:c r="B31" s="34" t="str">
        <x:f t="shared" si="0"/>
        <x:v>Wed</x:v>
      </x:c>
      <x:c r="C31" s="35">
        <x:v>0.333333333333333</x:v>
      </x:c>
      <x:c r="D31" s="35">
        <x:v>0.708333333333333</x:v>
      </x:c>
      <x:c r="E31" s="35">
        <x:v>0.0416666666666667</x:v>
      </x:c>
      <x:c r="F31" s="36">
        <x:f t="shared" si="7"/>
        <x:v>0.333333333333333</x:v>
      </x:c>
      <x:c r="G31" s="37">
        <x:v>0.333333333333333</x:v>
      </x:c>
      <x:c r="H31" s="34" t="s">
        <x:v>28</x:v>
      </x:c>
      <x:c r="I31" s="34" t="s">
        <x:v>29</x:v>
      </x:c>
      <x:c r="J31" s="35"/>
      <x:c r="K31" s="42"/>
    </x:row>
    <x:row r="32" s="31" customFormat="1">
      <x:c r="A32" s="33">
        <x:f t="shared" si="2"/>
        <x:v>46226</x:v>
      </x:c>
      <x:c r="B32" s="34" t="str">
        <x:f t="shared" si="0"/>
        <x:v>Thu</x:v>
      </x:c>
      <x:c r="C32" s="35">
        <x:v>0.333333333333333</x:v>
      </x:c>
      <x:c r="D32" s="35">
        <x:v>0.708333333333333</x:v>
      </x:c>
      <x:c r="E32" s="35">
        <x:v>0.0416666666666667</x:v>
      </x:c>
      <x:c r="F32" s="36">
        <x:f t="shared" si="7"/>
        <x:v>0.333333333333333</x:v>
      </x:c>
      <x:c r="G32" s="37">
        <x:v>0.333333333333333</x:v>
      </x:c>
      <x:c r="H32" s="34" t="s">
        <x:v>28</x:v>
      </x:c>
      <x:c r="I32" s="34" t="s">
        <x:v>29</x:v>
      </x:c>
      <x:c r="J32" s="35"/>
      <x:c r="K32" s="42"/>
    </x:row>
    <x:row r="33" s="31" customFormat="1">
      <x:c r="A33" s="33">
        <x:f t="shared" si="2"/>
        <x:v>46227</x:v>
      </x:c>
      <x:c r="B33" s="34" t="str">
        <x:f t="shared" si="0"/>
        <x:v>Fri</x:v>
      </x:c>
      <x:c r="C33" s="35">
        <x:v>0.333333333333333</x:v>
      </x:c>
      <x:c r="D33" s="35">
        <x:v>0.708333333333333</x:v>
      </x:c>
      <x:c r="E33" s="35">
        <x:v>0.0416666666666667</x:v>
      </x:c>
      <x:c r="F33" s="36">
        <x:f t="shared" si="7"/>
        <x:v>0.333333333333333</x:v>
      </x:c>
      <x:c r="G33" s="37">
        <x:v>0.333333333333333</x:v>
      </x:c>
      <x:c r="H33" s="34" t="s">
        <x:v>28</x:v>
      </x:c>
      <x:c r="I33" s="34" t="s">
        <x:v>29</x:v>
      </x:c>
      <x:c r="J33" s="35"/>
      <x:c r="K33" s="42"/>
    </x:row>
    <x:row r="34" s="31" customFormat="1">
      <x:c r="A34" s="38">
        <x:f t="shared" si="2"/>
        <x:v>46228</x:v>
      </x:c>
      <x:c r="B34" s="39" t="str">
        <x:f t="shared" si="0"/>
        <x:v>Sat</x:v>
      </x:c>
      <x:c r="C34" s="40"/>
      <x:c r="D34" s="40"/>
      <x:c r="E34" s="40"/>
      <x:c r="F34" s="40"/>
      <x:c r="G34" s="41"/>
      <x:c r="H34" s="39"/>
      <x:c r="I34" s="39"/>
      <x:c r="J34" s="40"/>
      <x:c r="K34" s="39"/>
    </x:row>
    <x:row r="35" s="31" customFormat="1">
      <x:c r="A35" s="38">
        <x:f t="shared" si="2"/>
        <x:v>46229</x:v>
      </x:c>
      <x:c r="B35" s="39" t="str">
        <x:f t="shared" si="0"/>
        <x:v>Sun</x:v>
      </x:c>
      <x:c r="C35" s="40"/>
      <x:c r="D35" s="40"/>
      <x:c r="E35" s="40"/>
      <x:c r="F35" s="40"/>
      <x:c r="G35" s="41"/>
      <x:c r="H35" s="40"/>
      <x:c r="I35" s="39"/>
      <x:c r="J35" s="40"/>
      <x:c r="K35" s="39"/>
    </x:row>
    <x:row r="36" s="31" customFormat="1">
      <x:c r="A36" s="33">
        <x:f t="shared" si="2"/>
        <x:v>46230</x:v>
      </x:c>
      <x:c r="B36" s="34" t="str">
        <x:f t="shared" si="0"/>
        <x:v>Mon</x:v>
      </x:c>
      <x:c r="C36" s="35">
        <x:v>0.333333333333333</x:v>
      </x:c>
      <x:c r="D36" s="35">
        <x:v>0.708333333333333</x:v>
      </x:c>
      <x:c r="E36" s="35">
        <x:v>0.0416666666666667</x:v>
      </x:c>
      <x:c r="F36" s="36" t="n">
        <x:f t="shared" ref="F36:F40" si="8">D36-C36-E36</x:f>
        <x:v>0.33333333333333337</x:v>
      </x:c>
      <x:c r="G36" s="37">
        <x:v>0.333333333333333</x:v>
      </x:c>
      <x:c r="H36" s="34" t="s">
        <x:v>32</x:v>
      </x:c>
      <x:c r="I36" s="34" t="s">
        <x:v>33</x:v>
      </x:c>
      <x:c r="J36" s="35"/>
      <x:c r="K36" s="42"/>
    </x:row>
    <x:row r="37" s="31" customFormat="1">
      <x:c r="A37" s="33">
        <x:f t="shared" si="2"/>
        <x:v>46231</x:v>
      </x:c>
      <x:c r="B37" s="34" t="str">
        <x:f t="shared" si="0"/>
        <x:v>Tue</x:v>
      </x:c>
      <x:c r="C37" s="35">
        <x:v>0.333333333333333</x:v>
      </x:c>
      <x:c r="D37" s="35">
        <x:v>0.708333333333333</x:v>
      </x:c>
      <x:c r="E37" s="35">
        <x:v>0.0416666666666667</x:v>
      </x:c>
      <x:c r="F37" s="36">
        <x:f t="shared" si="8"/>
        <x:v>0.333333333333333</x:v>
      </x:c>
      <x:c r="G37" s="37">
        <x:v>0.333333333333333</x:v>
      </x:c>
      <x:c r="H37" s="34" t="s">
        <x:v>28</x:v>
      </x:c>
      <x:c r="I37" s="34" t="s">
        <x:v>29</x:v>
      </x:c>
      <x:c r="J37" s="35"/>
      <x:c r="K37" s="42"/>
    </x:row>
    <x:row r="38" s="31" customFormat="1">
      <x:c r="A38" s="33">
        <x:f t="shared" si="2"/>
        <x:v>46232</x:v>
      </x:c>
      <x:c r="B38" s="34" t="str">
        <x:f t="shared" si="0"/>
        <x:v>Wed</x:v>
      </x:c>
      <x:c r="C38" s="35">
        <x:v>0.333333333333333</x:v>
      </x:c>
      <x:c r="D38" s="35">
        <x:v>0.708333333333333</x:v>
      </x:c>
      <x:c r="E38" s="35">
        <x:v>0.0416666666666667</x:v>
      </x:c>
      <x:c r="F38" s="36">
        <x:f t="shared" si="8"/>
        <x:v>0.333333333333333</x:v>
      </x:c>
      <x:c r="G38" s="37">
        <x:v>0.333333333333333</x:v>
      </x:c>
      <x:c r="H38" s="34" t="s">
        <x:v>28</x:v>
      </x:c>
      <x:c r="I38" s="34" t="s">
        <x:v>29</x:v>
      </x:c>
      <x:c r="J38" s="35"/>
      <x:c r="K38" s="42"/>
    </x:row>
    <x:row r="39" s="31" customFormat="1">
      <x:c r="A39" s="33">
        <x:f t="shared" si="2"/>
        <x:v>46233</x:v>
      </x:c>
      <x:c r="B39" s="34" t="str">
        <x:f t="shared" si="0"/>
        <x:v>Thu</x:v>
      </x:c>
      <x:c r="C39" s="35">
        <x:v>0.333333333333333</x:v>
      </x:c>
      <x:c r="D39" s="35">
        <x:v>0.708333333333333</x:v>
      </x:c>
      <x:c r="E39" s="35">
        <x:v>0.0416666666666667</x:v>
      </x:c>
      <x:c r="F39" s="36">
        <x:f t="shared" si="8"/>
        <x:v>0.333333333333333</x:v>
      </x:c>
      <x:c r="G39" s="37">
        <x:v>0.333333333333333</x:v>
      </x:c>
      <x:c r="H39" s="34" t="s">
        <x:v>28</x:v>
      </x:c>
      <x:c r="I39" s="34" t="s">
        <x:v>29</x:v>
      </x:c>
      <x:c r="J39" s="35"/>
      <x:c r="K39" s="42"/>
    </x:row>
    <x:row r="40" ht="16.799999237060547">
      <x:c r="A40" s="33">
        <x:f t="shared" si="2"/>
        <x:v>46234</x:v>
      </x:c>
      <x:c r="B40" s="34" t="str">
        <x:f t="shared" si="0"/>
        <x:v>Fri</x:v>
      </x:c>
      <x:c r="C40" s="35">
        <x:v>0.333333333333333</x:v>
      </x:c>
      <x:c r="D40" s="35">
        <x:v>0.708333333333333</x:v>
      </x:c>
      <x:c r="E40" s="35">
        <x:v>0.0416666666666667</x:v>
      </x:c>
      <x:c r="F40" s="36">
        <x:f t="shared" si="8"/>
        <x:v>0.333333333333333</x:v>
      </x:c>
      <x:c r="G40" s="37">
        <x:v>0.375</x:v>
      </x:c>
      <x:c r="H40" s="46" t="s">
        <x:v>34</x:v>
      </x:c>
      <x:c r="I40" s="34" t="s">
        <x:v>35</x:v>
      </x:c>
      <x:c r="J40" s="35"/>
      <x:c r="K40" s="42"/>
    </x:row>
  </x:sheetData>
  <x:conditionalFormatting sqref="D10:E10">
    <x:cfRule type="timePeriod" dxfId="1" priority="354" timePeriod="lastMonth">
      <x:formula>AND(MONTH(D10)=MONTH(EDATE(TODAY(),0-1)),YEAR(D10)=YEAR(EDATE(TODAY(),0-1)))</x:formula>
    </x:cfRule>
    <x:cfRule type="expression" dxfId="0" priority="355">
      <x:formula>$B10="土"</x:formula>
    </x:cfRule>
    <x:cfRule type="expression" dxfId="0" priority="356">
      <x:formula>$B10="日"</x:formula>
    </x:cfRule>
  </x:conditionalFormatting>
  <x:conditionalFormatting sqref="G10:G10">
    <x:cfRule type="expression" dxfId="3" priority="348">
      <x:formula>$B10="土"</x:formula>
    </x:cfRule>
    <x:cfRule type="expression" dxfId="3" priority="349">
      <x:formula>$B10="日"</x:formula>
    </x:cfRule>
    <x:cfRule type="timePeriod" dxfId="1" priority="350" timePeriod="lastMonth">
      <x:formula>AND(MONTH(G10)=MONTH(EDATE(TODAY(),0-1)),YEAR(G10)=YEAR(EDATE(TODAY(),0-1)))</x:formula>
    </x:cfRule>
  </x:conditionalFormatting>
  <x:conditionalFormatting sqref="H10:H10">
    <x:cfRule type="expression" dxfId="0" priority="191">
      <x:formula>$B10="土"</x:formula>
    </x:cfRule>
    <x:cfRule type="expression" dxfId="0" priority="192">
      <x:formula>$B10="日"</x:formula>
    </x:cfRule>
    <x:cfRule type="timePeriod" dxfId="1" priority="193" timePeriod="lastMonth">
      <x:formula>AND(MONTH(H10)=MONTH(EDATE(TODAY(),0-1)),YEAR(H10)=YEAR(EDATE(TODAY(),0-1)))</x:formula>
    </x:cfRule>
  </x:conditionalFormatting>
  <x:conditionalFormatting sqref="I10:I10">
    <x:cfRule type="expression" dxfId="0" priority="194">
      <x:formula>$B10="土"</x:formula>
    </x:cfRule>
    <x:cfRule type="expression" dxfId="0" priority="195">
      <x:formula>$B10="日"</x:formula>
    </x:cfRule>
    <x:cfRule type="timePeriod" dxfId="1" priority="196" timePeriod="lastMonth">
      <x:formula>AND(MONTH(I10)=MONTH(EDATE(TODAY(),0-1)),YEAR(I10)=YEAR(EDATE(TODAY(),0-1)))</x:formula>
    </x:cfRule>
  </x:conditionalFormatting>
  <x:conditionalFormatting sqref="J10:J10">
    <x:cfRule type="timePeriod" dxfId="1" priority="353" timePeriod="lastMonth">
      <x:formula>AND(MONTH(J10)=MONTH(EDATE(TODAY(),0-1)),YEAR(J10)=YEAR(EDATE(TODAY(),0-1)))</x:formula>
    </x:cfRule>
  </x:conditionalFormatting>
  <x:conditionalFormatting sqref="K10:K10">
    <x:cfRule type="timePeriod" dxfId="1" priority="346" timePeriod="lastMonth">
      <x:formula>AND(MONTH(K10)=MONTH(EDATE(TODAY(),0-1)),YEAR(K10)=YEAR(EDATE(TODAY(),0-1)))</x:formula>
    </x:cfRule>
    <x:cfRule type="expression" dxfId="3" priority="347">
      <x:formula>WEEKDAY(K$10)=L$4</x:formula>
    </x:cfRule>
  </x:conditionalFormatting>
  <x:conditionalFormatting sqref="D11:D11">
    <x:cfRule type="timePeriod" dxfId="1" priority="182" timePeriod="lastMonth">
      <x:formula>AND(MONTH(D11)=MONTH(EDATE(TODAY(),0-1)),YEAR(D11)=YEAR(EDATE(TODAY(),0-1)))</x:formula>
    </x:cfRule>
    <x:cfRule type="expression" dxfId="0" priority="183">
      <x:formula>$B11="土"</x:formula>
    </x:cfRule>
    <x:cfRule type="expression" dxfId="0" priority="184">
      <x:formula>$B11="日"</x:formula>
    </x:cfRule>
  </x:conditionalFormatting>
  <x:conditionalFormatting sqref="E11:E11">
    <x:cfRule type="timePeriod" dxfId="1" priority="179" timePeriod="lastMonth">
      <x:formula>AND(MONTH(E11)=MONTH(EDATE(TODAY(),0-1)),YEAR(E11)=YEAR(EDATE(TODAY(),0-1)))</x:formula>
    </x:cfRule>
    <x:cfRule type="expression" dxfId="0" priority="180">
      <x:formula>$B11="土"</x:formula>
    </x:cfRule>
    <x:cfRule type="expression" dxfId="0" priority="181">
      <x:formula>$B11="日"</x:formula>
    </x:cfRule>
  </x:conditionalFormatting>
  <x:conditionalFormatting sqref="G11:G11">
    <x:cfRule type="expression" dxfId="3" priority="176">
      <x:formula>$B11="土"</x:formula>
    </x:cfRule>
    <x:cfRule type="expression" dxfId="3" priority="177">
      <x:formula>$B11="日"</x:formula>
    </x:cfRule>
    <x:cfRule type="timePeriod" dxfId="1" priority="178" timePeriod="lastMonth">
      <x:formula>AND(MONTH(G11)=MONTH(EDATE(TODAY(),0-1)),YEAR(G11)=YEAR(EDATE(TODAY(),0-1)))</x:formula>
    </x:cfRule>
  </x:conditionalFormatting>
  <x:conditionalFormatting sqref="H11:H11">
    <x:cfRule type="expression" dxfId="0" priority="209">
      <x:formula>$B11="土"</x:formula>
    </x:cfRule>
    <x:cfRule type="expression" dxfId="0" priority="210">
      <x:formula>$B11="日"</x:formula>
    </x:cfRule>
    <x:cfRule type="timePeriod" dxfId="1" priority="211" timePeriod="lastMonth">
      <x:formula>AND(MONTH(H11)=MONTH(EDATE(TODAY(),0-1)),YEAR(H11)=YEAR(EDATE(TODAY(),0-1)))</x:formula>
    </x:cfRule>
  </x:conditionalFormatting>
  <x:conditionalFormatting sqref="I11:I11">
    <x:cfRule type="expression" dxfId="0" priority="337">
      <x:formula>$B11="土"</x:formula>
    </x:cfRule>
    <x:cfRule type="expression" dxfId="0" priority="338">
      <x:formula>$B11="日"</x:formula>
    </x:cfRule>
    <x:cfRule type="timePeriod" dxfId="1" priority="339" timePeriod="lastMonth">
      <x:formula>AND(MONTH(I11)=MONTH(EDATE(TODAY(),0-1)),YEAR(I11)=YEAR(EDATE(TODAY(),0-1)))</x:formula>
    </x:cfRule>
  </x:conditionalFormatting>
  <x:conditionalFormatting sqref="J11:J11">
    <x:cfRule type="timePeriod" dxfId="1" priority="470" timePeriod="lastMonth">
      <x:formula>AND(MONTH(J11)=MONTH(EDATE(TODAY(),0-1)),YEAR(J11)=YEAR(EDATE(TODAY(),0-1)))</x:formula>
    </x:cfRule>
  </x:conditionalFormatting>
  <x:conditionalFormatting sqref="C12:C12">
    <x:cfRule type="expression" dxfId="0" priority="419">
      <x:formula>$B12="土"</x:formula>
    </x:cfRule>
    <x:cfRule type="expression" dxfId="0" priority="420">
      <x:formula>$B12="日"</x:formula>
    </x:cfRule>
  </x:conditionalFormatting>
  <x:conditionalFormatting sqref="G12:G12">
    <x:cfRule type="expression" dxfId="3" priority="414">
      <x:formula>$B12="土"</x:formula>
    </x:cfRule>
    <x:cfRule type="expression" dxfId="3" priority="415">
      <x:formula>$B12="日"</x:formula>
    </x:cfRule>
    <x:cfRule type="timePeriod" dxfId="1" priority="416" timePeriod="lastMonth">
      <x:formula>AND(MONTH(G12)=MONTH(EDATE(TODAY(),0-1)),YEAR(G12)=YEAR(EDATE(TODAY(),0-1)))</x:formula>
    </x:cfRule>
  </x:conditionalFormatting>
  <x:conditionalFormatting sqref="H12:H12">
    <x:cfRule type="expression" dxfId="0" priority="185">
      <x:formula>$B12="土"</x:formula>
    </x:cfRule>
    <x:cfRule type="expression" dxfId="0" priority="186">
      <x:formula>$B12="日"</x:formula>
    </x:cfRule>
    <x:cfRule type="timePeriod" dxfId="1" priority="187" timePeriod="lastMonth">
      <x:formula>AND(MONTH(H12)=MONTH(EDATE(TODAY(),0-1)),YEAR(H12)=YEAR(EDATE(TODAY(),0-1)))</x:formula>
    </x:cfRule>
  </x:conditionalFormatting>
  <x:conditionalFormatting sqref="I12:I12">
    <x:cfRule type="expression" dxfId="0" priority="188">
      <x:formula>$B12="土"</x:formula>
    </x:cfRule>
    <x:cfRule type="expression" dxfId="0" priority="189">
      <x:formula>$B12="日"</x:formula>
    </x:cfRule>
    <x:cfRule type="timePeriod" dxfId="1" priority="190" timePeriod="lastMonth">
      <x:formula>AND(MONTH(I12)=MONTH(EDATE(TODAY(),0-1)),YEAR(I12)=YEAR(EDATE(TODAY(),0-1)))</x:formula>
    </x:cfRule>
  </x:conditionalFormatting>
  <x:conditionalFormatting sqref="C13:C13">
    <x:cfRule type="expression" dxfId="0" priority="417">
      <x:formula>$B13="土"</x:formula>
    </x:cfRule>
    <x:cfRule type="expression" dxfId="0" priority="418">
      <x:formula>$B13="日"</x:formula>
    </x:cfRule>
  </x:conditionalFormatting>
  <x:conditionalFormatting sqref="G13:G13">
    <x:cfRule type="expression" dxfId="3" priority="411">
      <x:formula>$B13="土"</x:formula>
    </x:cfRule>
    <x:cfRule type="expression" dxfId="3" priority="412">
      <x:formula>$B13="日"</x:formula>
    </x:cfRule>
    <x:cfRule type="timePeriod" dxfId="1" priority="413" timePeriod="lastMonth">
      <x:formula>AND(MONTH(G13)=MONTH(EDATE(TODAY(),0-1)),YEAR(G13)=YEAR(EDATE(TODAY(),0-1)))</x:formula>
    </x:cfRule>
  </x:conditionalFormatting>
  <x:conditionalFormatting sqref="H13:H13">
    <x:cfRule type="expression" dxfId="0" priority="229">
      <x:formula>$B13="土"</x:formula>
    </x:cfRule>
    <x:cfRule type="expression" dxfId="0" priority="230">
      <x:formula>$B13="日"</x:formula>
    </x:cfRule>
    <x:cfRule type="timePeriod" dxfId="1" priority="231" timePeriod="lastMonth">
      <x:formula>AND(MONTH(H13)=MONTH(EDATE(TODAY(),0-1)),YEAR(H13)=YEAR(EDATE(TODAY(),0-1)))</x:formula>
    </x:cfRule>
  </x:conditionalFormatting>
  <x:conditionalFormatting sqref="I13:I13">
    <x:cfRule type="expression" dxfId="0" priority="268">
      <x:formula>$B13="土"</x:formula>
    </x:cfRule>
    <x:cfRule type="expression" dxfId="0" priority="269">
      <x:formula>$B13="日"</x:formula>
    </x:cfRule>
    <x:cfRule type="timePeriod" dxfId="1" priority="270" timePeriod="lastMonth">
      <x:formula>AND(MONTH(I13)=MONTH(EDATE(TODAY(),0-1)),YEAR(I13)=YEAR(EDATE(TODAY(),0-1)))</x:formula>
    </x:cfRule>
  </x:conditionalFormatting>
  <x:conditionalFormatting sqref="G14:G14">
    <x:cfRule type="expression" dxfId="3" priority="440">
      <x:formula>$B14="土"</x:formula>
    </x:cfRule>
    <x:cfRule type="expression" dxfId="3" priority="441">
      <x:formula>$B14="日"</x:formula>
    </x:cfRule>
    <x:cfRule type="timePeriod" dxfId="1" priority="442" timePeriod="lastMonth">
      <x:formula>AND(MONTH(G14)=MONTH(EDATE(TODAY(),0-1)),YEAR(G14)=YEAR(EDATE(TODAY(),0-1)))</x:formula>
    </x:cfRule>
  </x:conditionalFormatting>
  <x:conditionalFormatting sqref="C15:C15">
    <x:cfRule type="expression" dxfId="0" priority="171">
      <x:formula>$B15="土"</x:formula>
    </x:cfRule>
    <x:cfRule type="expression" dxfId="0" priority="172">
      <x:formula>$B15="日"</x:formula>
    </x:cfRule>
  </x:conditionalFormatting>
  <x:conditionalFormatting sqref="D15:E15">
    <x:cfRule type="timePeriod" dxfId="1" priority="173" timePeriod="lastMonth">
      <x:formula>AND(MONTH(D15)=MONTH(EDATE(TODAY(),0-1)),YEAR(D15)=YEAR(EDATE(TODAY(),0-1)))</x:formula>
    </x:cfRule>
    <x:cfRule type="expression" dxfId="0" priority="174">
      <x:formula>$B15="土"</x:formula>
    </x:cfRule>
    <x:cfRule type="expression" dxfId="0" priority="175">
      <x:formula>$B15="日"</x:formula>
    </x:cfRule>
  </x:conditionalFormatting>
  <x:conditionalFormatting sqref="F15:F15">
    <x:cfRule type="timePeriod" dxfId="1" priority="165" timePeriod="lastMonth">
      <x:formula>AND(MONTH(F15)=MONTH(EDATE(TODAY(),0-1)),YEAR(F15)=YEAR(EDATE(TODAY(),0-1)))</x:formula>
    </x:cfRule>
    <x:cfRule type="expression" dxfId="0" priority="166">
      <x:formula>$B15="土"</x:formula>
    </x:cfRule>
    <x:cfRule type="expression" dxfId="0" priority="167">
      <x:formula>$B15="日"</x:formula>
    </x:cfRule>
  </x:conditionalFormatting>
  <x:conditionalFormatting sqref="G15:G15">
    <x:cfRule type="expression" dxfId="3" priority="168">
      <x:formula>$B15="土"</x:formula>
    </x:cfRule>
    <x:cfRule type="expression" dxfId="3" priority="169">
      <x:formula>$B15="日"</x:formula>
    </x:cfRule>
    <x:cfRule type="timePeriod" dxfId="1" priority="170" timePeriod="lastMonth">
      <x:formula>AND(MONTH(G15)=MONTH(EDATE(TODAY(),0-1)),YEAR(G15)=YEAR(EDATE(TODAY(),0-1)))</x:formula>
    </x:cfRule>
  </x:conditionalFormatting>
  <x:conditionalFormatting sqref="H15:H15">
    <x:cfRule type="expression" dxfId="0" priority="159">
      <x:formula>$B15="土"</x:formula>
    </x:cfRule>
    <x:cfRule type="expression" dxfId="0" priority="160">
      <x:formula>$B15="日"</x:formula>
    </x:cfRule>
    <x:cfRule type="timePeriod" dxfId="1" priority="161" timePeriod="lastMonth">
      <x:formula>AND(MONTH(H15)=MONTH(EDATE(TODAY(),0-1)),YEAR(H15)=YEAR(EDATE(TODAY(),0-1)))</x:formula>
    </x:cfRule>
  </x:conditionalFormatting>
  <x:conditionalFormatting sqref="I15:I15">
    <x:cfRule type="expression" dxfId="0" priority="162">
      <x:formula>$B15="土"</x:formula>
    </x:cfRule>
    <x:cfRule type="expression" dxfId="0" priority="163">
      <x:formula>$B15="日"</x:formula>
    </x:cfRule>
    <x:cfRule type="timePeriod" dxfId="1" priority="164" timePeriod="lastMonth">
      <x:formula>AND(MONTH(I15)=MONTH(EDATE(TODAY(),0-1)),YEAR(I15)=YEAR(EDATE(TODAY(),0-1)))</x:formula>
    </x:cfRule>
  </x:conditionalFormatting>
  <x:conditionalFormatting sqref="J15:J15">
    <x:cfRule type="expression" dxfId="0" priority="403">
      <x:formula>$B15="土"</x:formula>
    </x:cfRule>
    <x:cfRule type="expression" dxfId="0" priority="404">
      <x:formula>$B15="日"</x:formula>
    </x:cfRule>
    <x:cfRule type="timePeriod" dxfId="1" priority="405" timePeriod="lastMonth">
      <x:formula>AND(MONTH(J15)=MONTH(EDATE(TODAY(),0-1)),YEAR(J15)=YEAR(EDATE(TODAY(),0-1)))</x:formula>
    </x:cfRule>
  </x:conditionalFormatting>
  <x:conditionalFormatting sqref="K15:K15">
    <x:cfRule type="timePeriod" dxfId="1" priority="401" timePeriod="lastMonth">
      <x:formula>AND(MONTH(K15)=MONTH(EDATE(TODAY(),0-1)),YEAR(K15)=YEAR(EDATE(TODAY(),0-1)))</x:formula>
    </x:cfRule>
    <x:cfRule type="expression" dxfId="3" priority="402">
      <x:formula>WEEKDAY(K$10)=L$4</x:formula>
    </x:cfRule>
  </x:conditionalFormatting>
  <x:conditionalFormatting sqref="C16:C16">
    <x:cfRule type="expression" dxfId="0" priority="154">
      <x:formula>$B16="土"</x:formula>
    </x:cfRule>
    <x:cfRule type="expression" dxfId="0" priority="155">
      <x:formula>$B16="日"</x:formula>
    </x:cfRule>
  </x:conditionalFormatting>
  <x:conditionalFormatting sqref="D16:E16">
    <x:cfRule type="timePeriod" dxfId="1" priority="156" timePeriod="lastMonth">
      <x:formula>AND(MONTH(D16)=MONTH(EDATE(TODAY(),0-1)),YEAR(D16)=YEAR(EDATE(TODAY(),0-1)))</x:formula>
    </x:cfRule>
    <x:cfRule type="expression" dxfId="0" priority="157">
      <x:formula>$B16="土"</x:formula>
    </x:cfRule>
    <x:cfRule type="expression" dxfId="0" priority="158">
      <x:formula>$B16="日"</x:formula>
    </x:cfRule>
  </x:conditionalFormatting>
  <x:conditionalFormatting sqref="F16:F16">
    <x:cfRule type="timePeriod" dxfId="1" priority="148" timePeriod="lastMonth">
      <x:formula>AND(MONTH(F16)=MONTH(EDATE(TODAY(),0-1)),YEAR(F16)=YEAR(EDATE(TODAY(),0-1)))</x:formula>
    </x:cfRule>
    <x:cfRule type="expression" dxfId="0" priority="149">
      <x:formula>$B16="土"</x:formula>
    </x:cfRule>
    <x:cfRule type="expression" dxfId="0" priority="150">
      <x:formula>$B16="日"</x:formula>
    </x:cfRule>
  </x:conditionalFormatting>
  <x:conditionalFormatting sqref="G16:G16">
    <x:cfRule type="expression" dxfId="3" priority="151">
      <x:formula>$B16="土"</x:formula>
    </x:cfRule>
    <x:cfRule type="expression" dxfId="3" priority="152">
      <x:formula>$B16="日"</x:formula>
    </x:cfRule>
    <x:cfRule type="timePeriod" dxfId="1" priority="153" timePeriod="lastMonth">
      <x:formula>AND(MONTH(G16)=MONTH(EDATE(TODAY(),0-1)),YEAR(G16)=YEAR(EDATE(TODAY(),0-1)))</x:formula>
    </x:cfRule>
  </x:conditionalFormatting>
  <x:conditionalFormatting sqref="H16:H16">
    <x:cfRule type="expression" dxfId="0" priority="142">
      <x:formula>$B16="土"</x:formula>
    </x:cfRule>
    <x:cfRule type="expression" dxfId="0" priority="143">
      <x:formula>$B16="日"</x:formula>
    </x:cfRule>
    <x:cfRule type="timePeriod" dxfId="1" priority="144" timePeriod="lastMonth">
      <x:formula>AND(MONTH(H16)=MONTH(EDATE(TODAY(),0-1)),YEAR(H16)=YEAR(EDATE(TODAY(),0-1)))</x:formula>
    </x:cfRule>
  </x:conditionalFormatting>
  <x:conditionalFormatting sqref="I16:I16">
    <x:cfRule type="expression" dxfId="0" priority="145">
      <x:formula>$B16="土"</x:formula>
    </x:cfRule>
    <x:cfRule type="expression" dxfId="0" priority="146">
      <x:formula>$B16="日"</x:formula>
    </x:cfRule>
    <x:cfRule type="timePeriod" dxfId="1" priority="147" timePeriod="lastMonth">
      <x:formula>AND(MONTH(I16)=MONTH(EDATE(TODAY(),0-1)),YEAR(I16)=YEAR(EDATE(TODAY(),0-1)))</x:formula>
    </x:cfRule>
  </x:conditionalFormatting>
  <x:conditionalFormatting sqref="K16:K16">
    <x:cfRule type="timePeriod" dxfId="1" priority="438" timePeriod="lastMonth">
      <x:formula>AND(MONTH(K16)=MONTH(EDATE(TODAY(),0-1)),YEAR(K16)=YEAR(EDATE(TODAY(),0-1)))</x:formula>
    </x:cfRule>
    <x:cfRule type="expression" dxfId="3" priority="439">
      <x:formula>WEEKDAY(K$10)=L$4</x:formula>
    </x:cfRule>
  </x:conditionalFormatting>
  <x:conditionalFormatting sqref="C17:F17">
    <x:cfRule type="timePeriod" dxfId="1" priority="343" timePeriod="lastMonth">
      <x:formula>AND(MONTH(C17)=MONTH(EDATE(TODAY(),0-1)),YEAR(C17)=YEAR(EDATE(TODAY(),0-1)))</x:formula>
    </x:cfRule>
    <x:cfRule type="expression" dxfId="0" priority="344">
      <x:formula>$B17="土"</x:formula>
    </x:cfRule>
    <x:cfRule type="expression" dxfId="0" priority="345">
      <x:formula>$B17="日"</x:formula>
    </x:cfRule>
  </x:conditionalFormatting>
  <x:conditionalFormatting sqref="G17:G17">
    <x:cfRule type="expression" dxfId="3" priority="340">
      <x:formula>$B17="土"</x:formula>
    </x:cfRule>
    <x:cfRule type="expression" dxfId="3" priority="341">
      <x:formula>$B17="日"</x:formula>
    </x:cfRule>
    <x:cfRule type="timePeriod" dxfId="1" priority="342" timePeriod="lastMonth">
      <x:formula>AND(MONTH(G17)=MONTH(EDATE(TODAY(),0-1)),YEAR(G17)=YEAR(EDATE(TODAY(),0-1)))</x:formula>
    </x:cfRule>
  </x:conditionalFormatting>
  <x:conditionalFormatting sqref="H17:H17">
    <x:cfRule type="expression" dxfId="0" priority="206">
      <x:formula>$B17="土"</x:formula>
    </x:cfRule>
    <x:cfRule type="expression" dxfId="0" priority="207">
      <x:formula>$B17="日"</x:formula>
    </x:cfRule>
    <x:cfRule type="timePeriod" dxfId="1" priority="208" timePeriod="lastMonth">
      <x:formula>AND(MONTH(H17)=MONTH(EDATE(TODAY(),0-1)),YEAR(H17)=YEAR(EDATE(TODAY(),0-1)))</x:formula>
    </x:cfRule>
  </x:conditionalFormatting>
  <x:conditionalFormatting sqref="I17:I17">
    <x:cfRule type="expression" dxfId="0" priority="265">
      <x:formula>$B17="土"</x:formula>
    </x:cfRule>
    <x:cfRule type="expression" dxfId="0" priority="266">
      <x:formula>$B17="日"</x:formula>
    </x:cfRule>
    <x:cfRule type="timePeriod" dxfId="1" priority="267" timePeriod="lastMonth">
      <x:formula>AND(MONTH(I17)=MONTH(EDATE(TODAY(),0-1)),YEAR(I17)=YEAR(EDATE(TODAY(),0-1)))</x:formula>
    </x:cfRule>
  </x:conditionalFormatting>
  <x:conditionalFormatting sqref="J17:J17">
    <x:cfRule type="expression" dxfId="0" priority="465">
      <x:formula>$B17="土"</x:formula>
    </x:cfRule>
    <x:cfRule type="expression" dxfId="0" priority="466">
      <x:formula>$B17="日"</x:formula>
    </x:cfRule>
    <x:cfRule type="timePeriod" dxfId="1" priority="467" timePeriod="lastMonth">
      <x:formula>AND(MONTH(J17)=MONTH(EDATE(TODAY(),0-1)),YEAR(J17)=YEAR(EDATE(TODAY(),0-1)))</x:formula>
    </x:cfRule>
  </x:conditionalFormatting>
  <x:conditionalFormatting sqref="K17:K17">
    <x:cfRule type="timePeriod" dxfId="1" priority="461" timePeriod="lastMonth">
      <x:formula>AND(MONTH(K17)=MONTH(EDATE(TODAY(),0-1)),YEAR(K17)=YEAR(EDATE(TODAY(),0-1)))</x:formula>
    </x:cfRule>
    <x:cfRule type="expression" dxfId="3" priority="462">
      <x:formula>WEEKDAY(K$10)=L$4</x:formula>
    </x:cfRule>
  </x:conditionalFormatting>
  <x:conditionalFormatting sqref="C18:C18">
    <x:cfRule type="expression" dxfId="0" priority="137">
      <x:formula>$B18="土"</x:formula>
    </x:cfRule>
    <x:cfRule type="expression" dxfId="0" priority="138">
      <x:formula>$B18="日"</x:formula>
    </x:cfRule>
  </x:conditionalFormatting>
  <x:conditionalFormatting sqref="D18:E18">
    <x:cfRule type="timePeriod" dxfId="1" priority="139" timePeriod="lastMonth">
      <x:formula>AND(MONTH(D18)=MONTH(EDATE(TODAY(),0-1)),YEAR(D18)=YEAR(EDATE(TODAY(),0-1)))</x:formula>
    </x:cfRule>
    <x:cfRule type="expression" dxfId="0" priority="140">
      <x:formula>$B18="土"</x:formula>
    </x:cfRule>
    <x:cfRule type="expression" dxfId="0" priority="141">
      <x:formula>$B18="日"</x:formula>
    </x:cfRule>
  </x:conditionalFormatting>
  <x:conditionalFormatting sqref="F18:F18">
    <x:cfRule type="timePeriod" dxfId="1" priority="131" timePeriod="lastMonth">
      <x:formula>AND(MONTH(F18)=MONTH(EDATE(TODAY(),0-1)),YEAR(F18)=YEAR(EDATE(TODAY(),0-1)))</x:formula>
    </x:cfRule>
    <x:cfRule type="expression" dxfId="0" priority="132">
      <x:formula>$B18="土"</x:formula>
    </x:cfRule>
    <x:cfRule type="expression" dxfId="0" priority="133">
      <x:formula>$B18="日"</x:formula>
    </x:cfRule>
  </x:conditionalFormatting>
  <x:conditionalFormatting sqref="G18:G18">
    <x:cfRule type="expression" dxfId="3" priority="134">
      <x:formula>$B18="土"</x:formula>
    </x:cfRule>
    <x:cfRule type="expression" dxfId="3" priority="135">
      <x:formula>$B18="日"</x:formula>
    </x:cfRule>
    <x:cfRule type="timePeriod" dxfId="1" priority="136" timePeriod="lastMonth">
      <x:formula>AND(MONTH(G18)=MONTH(EDATE(TODAY(),0-1)),YEAR(G18)=YEAR(EDATE(TODAY(),0-1)))</x:formula>
    </x:cfRule>
  </x:conditionalFormatting>
  <x:conditionalFormatting sqref="H18:H18">
    <x:cfRule type="expression" dxfId="0" priority="125">
      <x:formula>$B18="土"</x:formula>
    </x:cfRule>
    <x:cfRule type="expression" dxfId="0" priority="126">
      <x:formula>$B18="日"</x:formula>
    </x:cfRule>
    <x:cfRule type="timePeriod" dxfId="1" priority="127" timePeriod="lastMonth">
      <x:formula>AND(MONTH(H18)=MONTH(EDATE(TODAY(),0-1)),YEAR(H18)=YEAR(EDATE(TODAY(),0-1)))</x:formula>
    </x:cfRule>
  </x:conditionalFormatting>
  <x:conditionalFormatting sqref="I18:I18">
    <x:cfRule type="expression" dxfId="0" priority="128">
      <x:formula>$B18="土"</x:formula>
    </x:cfRule>
    <x:cfRule type="expression" dxfId="0" priority="129">
      <x:formula>$B18="日"</x:formula>
    </x:cfRule>
    <x:cfRule type="timePeriod" dxfId="1" priority="130" timePeriod="lastMonth">
      <x:formula>AND(MONTH(I18)=MONTH(EDATE(TODAY(),0-1)),YEAR(I18)=YEAR(EDATE(TODAY(),0-1)))</x:formula>
    </x:cfRule>
  </x:conditionalFormatting>
  <x:conditionalFormatting sqref="C19:C19">
    <x:cfRule type="expression" dxfId="0" priority="120">
      <x:formula>$B19="土"</x:formula>
    </x:cfRule>
    <x:cfRule type="expression" dxfId="0" priority="121">
      <x:formula>$B19="日"</x:formula>
    </x:cfRule>
  </x:conditionalFormatting>
  <x:conditionalFormatting sqref="D19:E19">
    <x:cfRule type="timePeriod" dxfId="1" priority="122" timePeriod="lastMonth">
      <x:formula>AND(MONTH(D19)=MONTH(EDATE(TODAY(),0-1)),YEAR(D19)=YEAR(EDATE(TODAY(),0-1)))</x:formula>
    </x:cfRule>
    <x:cfRule type="expression" dxfId="0" priority="123">
      <x:formula>$B19="土"</x:formula>
    </x:cfRule>
    <x:cfRule type="expression" dxfId="0" priority="124">
      <x:formula>$B19="日"</x:formula>
    </x:cfRule>
  </x:conditionalFormatting>
  <x:conditionalFormatting sqref="F19:F19">
    <x:cfRule type="timePeriod" dxfId="1" priority="114" timePeriod="lastMonth">
      <x:formula>AND(MONTH(F19)=MONTH(EDATE(TODAY(),0-1)),YEAR(F19)=YEAR(EDATE(TODAY(),0-1)))</x:formula>
    </x:cfRule>
    <x:cfRule type="expression" dxfId="0" priority="115">
      <x:formula>$B19="土"</x:formula>
    </x:cfRule>
    <x:cfRule type="expression" dxfId="0" priority="116">
      <x:formula>$B19="日"</x:formula>
    </x:cfRule>
  </x:conditionalFormatting>
  <x:conditionalFormatting sqref="G19:G19">
    <x:cfRule type="expression" dxfId="3" priority="117">
      <x:formula>$B19="土"</x:formula>
    </x:cfRule>
    <x:cfRule type="expression" dxfId="3" priority="118">
      <x:formula>$B19="日"</x:formula>
    </x:cfRule>
    <x:cfRule type="timePeriod" dxfId="1" priority="119" timePeriod="lastMonth">
      <x:formula>AND(MONTH(G19)=MONTH(EDATE(TODAY(),0-1)),YEAR(G19)=YEAR(EDATE(TODAY(),0-1)))</x:formula>
    </x:cfRule>
  </x:conditionalFormatting>
  <x:conditionalFormatting sqref="H19:H19">
    <x:cfRule type="expression" dxfId="0" priority="108">
      <x:formula>$B19="土"</x:formula>
    </x:cfRule>
    <x:cfRule type="expression" dxfId="0" priority="109">
      <x:formula>$B19="日"</x:formula>
    </x:cfRule>
    <x:cfRule type="timePeriod" dxfId="1" priority="110" timePeriod="lastMonth">
      <x:formula>AND(MONTH(H19)=MONTH(EDATE(TODAY(),0-1)),YEAR(H19)=YEAR(EDATE(TODAY(),0-1)))</x:formula>
    </x:cfRule>
  </x:conditionalFormatting>
  <x:conditionalFormatting sqref="I19:I19">
    <x:cfRule type="expression" dxfId="0" priority="111">
      <x:formula>$B19="土"</x:formula>
    </x:cfRule>
    <x:cfRule type="expression" dxfId="0" priority="112">
      <x:formula>$B19="日"</x:formula>
    </x:cfRule>
    <x:cfRule type="timePeriod" dxfId="1" priority="113" timePeriod="lastMonth">
      <x:formula>AND(MONTH(I19)=MONTH(EDATE(TODAY(),0-1)),YEAR(I19)=YEAR(EDATE(TODAY(),0-1)))</x:formula>
    </x:cfRule>
  </x:conditionalFormatting>
  <x:conditionalFormatting sqref="A20:A20">
    <x:cfRule type="expression" dxfId="0" priority="218">
      <x:formula>$B20="土"</x:formula>
    </x:cfRule>
    <x:cfRule type="expression" dxfId="0" priority="219">
      <x:formula>$B20="日"</x:formula>
    </x:cfRule>
  </x:conditionalFormatting>
  <x:conditionalFormatting sqref="B20:B20">
    <x:cfRule type="expression" dxfId="0" priority="215">
      <x:formula>$B20="土"</x:formula>
    </x:cfRule>
    <x:cfRule type="expression" dxfId="0" priority="216">
      <x:formula>$B20="日"</x:formula>
    </x:cfRule>
    <x:cfRule type="timePeriod" dxfId="1" priority="217" timePeriod="lastMonth">
      <x:formula>AND(MONTH(B20)=MONTH(EDATE(TODAY(),0-1)),YEAR(B20)=YEAR(EDATE(TODAY(),0-1)))</x:formula>
    </x:cfRule>
  </x:conditionalFormatting>
  <x:conditionalFormatting sqref="C20:E20">
    <x:cfRule type="timePeriod" dxfId="1" priority="262" timePeriod="lastMonth">
      <x:formula>AND(MONTH(C20)=MONTH(EDATE(TODAY(),0-1)),YEAR(C20)=YEAR(EDATE(TODAY(),0-1)))</x:formula>
    </x:cfRule>
    <x:cfRule type="expression" dxfId="0" priority="263">
      <x:formula>$B20="土"</x:formula>
    </x:cfRule>
    <x:cfRule type="expression" dxfId="0" priority="264">
      <x:formula>$B20="日"</x:formula>
    </x:cfRule>
  </x:conditionalFormatting>
  <x:conditionalFormatting sqref="F20:F20">
    <x:cfRule type="timePeriod" dxfId="1" priority="256" timePeriod="lastMonth">
      <x:formula>AND(MONTH(F20)=MONTH(EDATE(TODAY(),0-1)),YEAR(F20)=YEAR(EDATE(TODAY(),0-1)))</x:formula>
    </x:cfRule>
    <x:cfRule type="expression" dxfId="0" priority="257">
      <x:formula>$B20="土"</x:formula>
    </x:cfRule>
    <x:cfRule type="expression" dxfId="0" priority="258">
      <x:formula>$B20="日"</x:formula>
    </x:cfRule>
  </x:conditionalFormatting>
  <x:conditionalFormatting sqref="G20:G20">
    <x:cfRule type="expression" dxfId="3" priority="259">
      <x:formula>$B20="土"</x:formula>
    </x:cfRule>
    <x:cfRule type="expression" dxfId="3" priority="260">
      <x:formula>$B20="日"</x:formula>
    </x:cfRule>
    <x:cfRule type="timePeriod" dxfId="1" priority="261" timePeriod="lastMonth">
      <x:formula>AND(MONTH(G20)=MONTH(EDATE(TODAY(),0-1)),YEAR(G20)=YEAR(EDATE(TODAY(),0-1)))</x:formula>
    </x:cfRule>
  </x:conditionalFormatting>
  <x:conditionalFormatting sqref="H20:H20">
    <x:cfRule type="expression" dxfId="0" priority="331">
      <x:formula>$B20="土"</x:formula>
    </x:cfRule>
    <x:cfRule type="expression" dxfId="0" priority="332">
      <x:formula>$B20="日"</x:formula>
    </x:cfRule>
    <x:cfRule type="timePeriod" dxfId="1" priority="333" timePeriod="lastMonth">
      <x:formula>AND(MONTH(H20)=MONTH(EDATE(TODAY(),0-1)),YEAR(H20)=YEAR(EDATE(TODAY(),0-1)))</x:formula>
    </x:cfRule>
  </x:conditionalFormatting>
  <x:conditionalFormatting sqref="I20:I20">
    <x:cfRule type="expression" dxfId="0" priority="334">
      <x:formula>$B20="土"</x:formula>
    </x:cfRule>
    <x:cfRule type="expression" dxfId="0" priority="335">
      <x:formula>$B20="日"</x:formula>
    </x:cfRule>
    <x:cfRule type="timePeriod" dxfId="1" priority="336" timePeriod="lastMonth">
      <x:formula>AND(MONTH(I20)=MONTH(EDATE(TODAY(),0-1)),YEAR(I20)=YEAR(EDATE(TODAY(),0-1)))</x:formula>
    </x:cfRule>
  </x:conditionalFormatting>
  <x:conditionalFormatting sqref="J20:J20">
    <x:cfRule type="expression" dxfId="0" priority="223">
      <x:formula>$B20="土"</x:formula>
    </x:cfRule>
    <x:cfRule type="expression" dxfId="0" priority="224">
      <x:formula>$B20="日"</x:formula>
    </x:cfRule>
    <x:cfRule type="timePeriod" dxfId="1" priority="225" timePeriod="lastMonth">
      <x:formula>AND(MONTH(J20)=MONTH(EDATE(TODAY(),0-1)),YEAR(J20)=YEAR(EDATE(TODAY(),0-1)))</x:formula>
    </x:cfRule>
  </x:conditionalFormatting>
  <x:conditionalFormatting sqref="K20:K20">
    <x:cfRule type="expression" dxfId="0" priority="220">
      <x:formula>$B20="土"</x:formula>
    </x:cfRule>
    <x:cfRule type="expression" dxfId="0" priority="221">
      <x:formula>$B20="日"</x:formula>
    </x:cfRule>
    <x:cfRule type="timePeriod" dxfId="1" priority="222" timePeriod="lastMonth">
      <x:formula>AND(MONTH(K20)=MONTH(EDATE(TODAY(),0-1)),YEAR(K20)=YEAR(EDATE(TODAY(),0-1)))</x:formula>
    </x:cfRule>
  </x:conditionalFormatting>
  <x:conditionalFormatting sqref="C21:F21">
    <x:cfRule type="timePeriod" dxfId="1" priority="328" timePeriod="lastMonth">
      <x:formula>AND(MONTH(C21)=MONTH(EDATE(TODAY(),0-1)),YEAR(C21)=YEAR(EDATE(TODAY(),0-1)))</x:formula>
    </x:cfRule>
    <x:cfRule type="expression" dxfId="0" priority="329">
      <x:formula>$B21="土"</x:formula>
    </x:cfRule>
    <x:cfRule type="expression" dxfId="0" priority="330">
      <x:formula>$B21="日"</x:formula>
    </x:cfRule>
  </x:conditionalFormatting>
  <x:conditionalFormatting sqref="G21:G21">
    <x:cfRule type="expression" dxfId="3" priority="325">
      <x:formula>$B21="土"</x:formula>
    </x:cfRule>
    <x:cfRule type="expression" dxfId="3" priority="326">
      <x:formula>$B21="日"</x:formula>
    </x:cfRule>
    <x:cfRule type="timePeriod" dxfId="1" priority="327" timePeriod="lastMonth">
      <x:formula>AND(MONTH(G21)=MONTH(EDATE(TODAY(),0-1)),YEAR(G21)=YEAR(EDATE(TODAY(),0-1)))</x:formula>
    </x:cfRule>
  </x:conditionalFormatting>
  <x:conditionalFormatting sqref="I21:I21">
    <x:cfRule type="expression" dxfId="0" priority="322">
      <x:formula>$B21="土"</x:formula>
    </x:cfRule>
    <x:cfRule type="expression" dxfId="0" priority="323">
      <x:formula>$B21="日"</x:formula>
    </x:cfRule>
    <x:cfRule type="timePeriod" dxfId="1" priority="324" timePeriod="lastMonth">
      <x:formula>AND(MONTH(I21)=MONTH(EDATE(TODAY(),0-1)),YEAR(I21)=YEAR(EDATE(TODAY(),0-1)))</x:formula>
    </x:cfRule>
  </x:conditionalFormatting>
  <x:conditionalFormatting sqref="K21:K21">
    <x:cfRule type="expression" dxfId="0" priority="363">
      <x:formula>$B21="土"</x:formula>
    </x:cfRule>
    <x:cfRule type="expression" dxfId="0" priority="364">
      <x:formula>$B21="日"</x:formula>
    </x:cfRule>
    <x:cfRule type="timePeriod" dxfId="1" priority="365" timePeriod="lastMonth">
      <x:formula>AND(MONTH(K21)=MONTH(EDATE(TODAY(),0-1)),YEAR(K21)=YEAR(EDATE(TODAY(),0-1)))</x:formula>
    </x:cfRule>
  </x:conditionalFormatting>
  <x:conditionalFormatting sqref="C22:C22">
    <x:cfRule type="expression" dxfId="0" priority="100">
      <x:formula>$B22="土"</x:formula>
    </x:cfRule>
    <x:cfRule type="expression" dxfId="0" priority="101">
      <x:formula>$B22="日"</x:formula>
    </x:cfRule>
  </x:conditionalFormatting>
  <x:conditionalFormatting sqref="D22:E22">
    <x:cfRule type="timePeriod" dxfId="1" priority="102" timePeriod="lastMonth">
      <x:formula>AND(MONTH(D22)=MONTH(EDATE(TODAY(),0-1)),YEAR(D22)=YEAR(EDATE(TODAY(),0-1)))</x:formula>
    </x:cfRule>
    <x:cfRule type="expression" dxfId="0" priority="103">
      <x:formula>$B22="土"</x:formula>
    </x:cfRule>
    <x:cfRule type="expression" dxfId="0" priority="104">
      <x:formula>$B22="日"</x:formula>
    </x:cfRule>
  </x:conditionalFormatting>
  <x:conditionalFormatting sqref="F22:F22">
    <x:cfRule type="timePeriod" dxfId="1" priority="94" timePeriod="lastMonth">
      <x:formula>AND(MONTH(F22)=MONTH(EDATE(TODAY(),0-1)),YEAR(F22)=YEAR(EDATE(TODAY(),0-1)))</x:formula>
    </x:cfRule>
    <x:cfRule type="expression" dxfId="0" priority="95">
      <x:formula>$B22="土"</x:formula>
    </x:cfRule>
    <x:cfRule type="expression" dxfId="0" priority="96">
      <x:formula>$B22="日"</x:formula>
    </x:cfRule>
  </x:conditionalFormatting>
  <x:conditionalFormatting sqref="G22:G22">
    <x:cfRule type="expression" dxfId="3" priority="97">
      <x:formula>$B22="土"</x:formula>
    </x:cfRule>
    <x:cfRule type="expression" dxfId="3" priority="98">
      <x:formula>$B22="日"</x:formula>
    </x:cfRule>
    <x:cfRule type="timePeriod" dxfId="1" priority="99" timePeriod="lastMonth">
      <x:formula>AND(MONTH(G22)=MONTH(EDATE(TODAY(),0-1)),YEAR(G22)=YEAR(EDATE(TODAY(),0-1)))</x:formula>
    </x:cfRule>
  </x:conditionalFormatting>
  <x:conditionalFormatting sqref="H22:H22">
    <x:cfRule type="expression" dxfId="0" priority="319">
      <x:formula>$B22="土"</x:formula>
    </x:cfRule>
    <x:cfRule type="expression" dxfId="0" priority="320">
      <x:formula>$B22="日"</x:formula>
    </x:cfRule>
    <x:cfRule type="timePeriod" dxfId="1" priority="321" timePeriod="lastMonth">
      <x:formula>AND(MONTH(H22)=MONTH(EDATE(TODAY(),0-1)),YEAR(H22)=YEAR(EDATE(TODAY(),0-1)))</x:formula>
    </x:cfRule>
  </x:conditionalFormatting>
  <x:conditionalFormatting sqref="I22:I22">
    <x:cfRule type="expression" dxfId="0" priority="105">
      <x:formula>$B22="土"</x:formula>
    </x:cfRule>
    <x:cfRule type="expression" dxfId="0" priority="106">
      <x:formula>$B22="日"</x:formula>
    </x:cfRule>
    <x:cfRule type="timePeriod" dxfId="1" priority="107" timePeriod="lastMonth">
      <x:formula>AND(MONTH(I22)=MONTH(EDATE(TODAY(),0-1)),YEAR(I22)=YEAR(EDATE(TODAY(),0-1)))</x:formula>
    </x:cfRule>
  </x:conditionalFormatting>
  <x:conditionalFormatting sqref="A23:B23">
    <x:cfRule type="expression" dxfId="0" priority="374">
      <x:formula>$B23="土"</x:formula>
    </x:cfRule>
    <x:cfRule type="expression" dxfId="0" priority="375">
      <x:formula>$B23="日"</x:formula>
    </x:cfRule>
  </x:conditionalFormatting>
  <x:conditionalFormatting sqref="B23:B23">
    <x:cfRule type="timePeriod" dxfId="1" priority="376" timePeriod="lastMonth">
      <x:formula>AND(MONTH(B23)=MONTH(EDATE(TODAY(),0-1)),YEAR(B23)=YEAR(EDATE(TODAY(),0-1)))</x:formula>
    </x:cfRule>
  </x:conditionalFormatting>
  <x:conditionalFormatting sqref="C23:F23">
    <x:cfRule type="timePeriod" dxfId="1" priority="91" timePeriod="lastMonth">
      <x:formula>AND(MONTH(C23)=MONTH(EDATE(TODAY(),0-1)),YEAR(C23)=YEAR(EDATE(TODAY(),0-1)))</x:formula>
    </x:cfRule>
    <x:cfRule type="expression" dxfId="0" priority="92">
      <x:formula>$B23="土"</x:formula>
    </x:cfRule>
    <x:cfRule type="expression" dxfId="0" priority="93">
      <x:formula>$B23="日"</x:formula>
    </x:cfRule>
  </x:conditionalFormatting>
  <x:conditionalFormatting sqref="G23:G23">
    <x:cfRule type="expression" dxfId="3" priority="88">
      <x:formula>$B23="土"</x:formula>
    </x:cfRule>
    <x:cfRule type="expression" dxfId="3" priority="89">
      <x:formula>$B23="日"</x:formula>
    </x:cfRule>
    <x:cfRule type="timePeriod" dxfId="1" priority="90" timePeriod="lastMonth">
      <x:formula>AND(MONTH(G23)=MONTH(EDATE(TODAY(),0-1)),YEAR(G23)=YEAR(EDATE(TODAY(),0-1)))</x:formula>
    </x:cfRule>
  </x:conditionalFormatting>
  <x:conditionalFormatting sqref="H23:H23">
    <x:cfRule type="expression" dxfId="0" priority="82">
      <x:formula>$B23="土"</x:formula>
    </x:cfRule>
    <x:cfRule type="expression" dxfId="0" priority="83">
      <x:formula>$B23="日"</x:formula>
    </x:cfRule>
    <x:cfRule type="timePeriod" dxfId="1" priority="84" timePeriod="lastMonth">
      <x:formula>AND(MONTH(H23)=MONTH(EDATE(TODAY(),0-1)),YEAR(H23)=YEAR(EDATE(TODAY(),0-1)))</x:formula>
    </x:cfRule>
  </x:conditionalFormatting>
  <x:conditionalFormatting sqref="I23:I23">
    <x:cfRule type="expression" dxfId="0" priority="85">
      <x:formula>$B23="土"</x:formula>
    </x:cfRule>
    <x:cfRule type="expression" dxfId="0" priority="86">
      <x:formula>$B23="日"</x:formula>
    </x:cfRule>
    <x:cfRule type="timePeriod" dxfId="1" priority="87" timePeriod="lastMonth">
      <x:formula>AND(MONTH(I23)=MONTH(EDATE(TODAY(),0-1)),YEAR(I23)=YEAR(EDATE(TODAY(),0-1)))</x:formula>
    </x:cfRule>
  </x:conditionalFormatting>
  <x:conditionalFormatting sqref="J23:J23">
    <x:cfRule type="expression" dxfId="0" priority="371">
      <x:formula>$B23="土"</x:formula>
    </x:cfRule>
    <x:cfRule type="expression" dxfId="0" priority="372">
      <x:formula>$B23="日"</x:formula>
    </x:cfRule>
    <x:cfRule type="timePeriod" dxfId="1" priority="373" timePeriod="lastMonth">
      <x:formula>AND(MONTH(J23)=MONTH(EDATE(TODAY(),0-1)),YEAR(J23)=YEAR(EDATE(TODAY(),0-1)))</x:formula>
    </x:cfRule>
  </x:conditionalFormatting>
  <x:conditionalFormatting sqref="K23:K23">
    <x:cfRule type="timePeriod" dxfId="1" priority="369" timePeriod="lastMonth">
      <x:formula>AND(MONTH(K23)=MONTH(EDATE(TODAY(),0-1)),YEAR(K23)=YEAR(EDATE(TODAY(),0-1)))</x:formula>
    </x:cfRule>
    <x:cfRule type="expression" dxfId="3" priority="370">
      <x:formula>WEEKDAY(K$10)=L$4</x:formula>
    </x:cfRule>
  </x:conditionalFormatting>
  <x:conditionalFormatting sqref="J24:J24">
    <x:cfRule type="expression" dxfId="0" priority="458">
      <x:formula>$B24="土"</x:formula>
    </x:cfRule>
    <x:cfRule type="expression" dxfId="0" priority="459">
      <x:formula>$B24="日"</x:formula>
    </x:cfRule>
    <x:cfRule type="timePeriod" dxfId="1" priority="460" timePeriod="lastMonth">
      <x:formula>AND(MONTH(J24)=MONTH(EDATE(TODAY(),0-1)),YEAR(J24)=YEAR(EDATE(TODAY(),0-1)))</x:formula>
    </x:cfRule>
  </x:conditionalFormatting>
  <x:conditionalFormatting sqref="K24:K24">
    <x:cfRule type="timePeriod" dxfId="1" priority="436" timePeriod="lastMonth">
      <x:formula>AND(MONTH(K24)=MONTH(EDATE(TODAY(),0-1)),YEAR(K24)=YEAR(EDATE(TODAY(),0-1)))</x:formula>
    </x:cfRule>
    <x:cfRule type="expression" dxfId="3" priority="437">
      <x:formula>WEEKDAY(K$10)=L$4</x:formula>
    </x:cfRule>
  </x:conditionalFormatting>
  <x:conditionalFormatting sqref="C26:C26">
    <x:cfRule type="expression" dxfId="0" priority="42">
      <x:formula>$B26="土"</x:formula>
    </x:cfRule>
    <x:cfRule type="expression" dxfId="0" priority="43">
      <x:formula>$B26="日"</x:formula>
    </x:cfRule>
  </x:conditionalFormatting>
  <x:conditionalFormatting sqref="D26:E26">
    <x:cfRule type="timePeriod" dxfId="1" priority="44" timePeriod="lastMonth">
      <x:formula>AND(MONTH(D26)=MONTH(EDATE(TODAY(),0-1)),YEAR(D26)=YEAR(EDATE(TODAY(),0-1)))</x:formula>
    </x:cfRule>
    <x:cfRule type="expression" dxfId="0" priority="45">
      <x:formula>$B26="土"</x:formula>
    </x:cfRule>
    <x:cfRule type="expression" dxfId="0" priority="46">
      <x:formula>$B26="日"</x:formula>
    </x:cfRule>
  </x:conditionalFormatting>
  <x:conditionalFormatting sqref="F26:F26">
    <x:cfRule type="timePeriod" dxfId="1" priority="36" timePeriod="lastMonth">
      <x:formula>AND(MONTH(F26)=MONTH(EDATE(TODAY(),0-1)),YEAR(F26)=YEAR(EDATE(TODAY(),0-1)))</x:formula>
    </x:cfRule>
    <x:cfRule type="expression" dxfId="0" priority="37">
      <x:formula>$B26="土"</x:formula>
    </x:cfRule>
    <x:cfRule type="expression" dxfId="0" priority="38">
      <x:formula>$B26="日"</x:formula>
    </x:cfRule>
  </x:conditionalFormatting>
  <x:conditionalFormatting sqref="G26:G26">
    <x:cfRule type="expression" dxfId="3" priority="39">
      <x:formula>$B26="土"</x:formula>
    </x:cfRule>
    <x:cfRule type="expression" dxfId="3" priority="40">
      <x:formula>$B26="日"</x:formula>
    </x:cfRule>
    <x:cfRule type="timePeriod" dxfId="1" priority="41" timePeriod="lastMonth">
      <x:formula>AND(MONTH(G26)=MONTH(EDATE(TODAY(),0-1)),YEAR(G26)=YEAR(EDATE(TODAY(),0-1)))</x:formula>
    </x:cfRule>
  </x:conditionalFormatting>
  <x:conditionalFormatting sqref="H26:H26">
    <x:cfRule type="expression" dxfId="0" priority="50">
      <x:formula>$B26="土"</x:formula>
    </x:cfRule>
    <x:cfRule type="expression" dxfId="0" priority="51">
      <x:formula>$B26="日"</x:formula>
    </x:cfRule>
    <x:cfRule type="timePeriod" dxfId="1" priority="52" timePeriod="lastMonth">
      <x:formula>AND(MONTH(H26)=MONTH(EDATE(TODAY(),0-1)),YEAR(H26)=YEAR(EDATE(TODAY(),0-1)))</x:formula>
    </x:cfRule>
  </x:conditionalFormatting>
  <x:conditionalFormatting sqref="I26:I26">
    <x:cfRule type="expression" dxfId="0" priority="47">
      <x:formula>$B26="土"</x:formula>
    </x:cfRule>
    <x:cfRule type="expression" dxfId="0" priority="48">
      <x:formula>$B26="日"</x:formula>
    </x:cfRule>
    <x:cfRule type="timePeriod" dxfId="1" priority="49" timePeriod="lastMonth">
      <x:formula>AND(MONTH(I26)=MONTH(EDATE(TODAY(),0-1)),YEAR(I26)=YEAR(EDATE(TODAY(),0-1)))</x:formula>
    </x:cfRule>
  </x:conditionalFormatting>
  <x:conditionalFormatting sqref="C27:F27">
    <x:cfRule type="timePeriod" dxfId="1" priority="316" timePeriod="lastMonth">
      <x:formula>AND(MONTH(C27)=MONTH(EDATE(TODAY(),0-1)),YEAR(C27)=YEAR(EDATE(TODAY(),0-1)))</x:formula>
    </x:cfRule>
    <x:cfRule type="expression" dxfId="0" priority="317">
      <x:formula>$B27="土"</x:formula>
    </x:cfRule>
    <x:cfRule type="expression" dxfId="0" priority="318">
      <x:formula>$B27="日"</x:formula>
    </x:cfRule>
  </x:conditionalFormatting>
  <x:conditionalFormatting sqref="G27:G27">
    <x:cfRule type="expression" dxfId="3" priority="313">
      <x:formula>$B27="土"</x:formula>
    </x:cfRule>
    <x:cfRule type="expression" dxfId="3" priority="314">
      <x:formula>$B27="日"</x:formula>
    </x:cfRule>
    <x:cfRule type="timePeriod" dxfId="1" priority="315" timePeriod="lastMonth">
      <x:formula>AND(MONTH(G27)=MONTH(EDATE(TODAY(),0-1)),YEAR(G27)=YEAR(EDATE(TODAY(),0-1)))</x:formula>
    </x:cfRule>
  </x:conditionalFormatting>
  <x:conditionalFormatting sqref="I27:I27">
    <x:cfRule type="expression" dxfId="0" priority="253">
      <x:formula>$B27="土"</x:formula>
    </x:cfRule>
    <x:cfRule type="expression" dxfId="0" priority="254">
      <x:formula>$B27="日"</x:formula>
    </x:cfRule>
    <x:cfRule type="timePeriod" dxfId="1" priority="255" timePeriod="lastMonth">
      <x:formula>AND(MONTH(I27)=MONTH(EDATE(TODAY(),0-1)),YEAR(I27)=YEAR(EDATE(TODAY(),0-1)))</x:formula>
    </x:cfRule>
  </x:conditionalFormatting>
  <x:conditionalFormatting sqref="C28:F28">
    <x:cfRule type="timePeriod" dxfId="1" priority="310" timePeriod="lastMonth">
      <x:formula>AND(MONTH(C28)=MONTH(EDATE(TODAY(),0-1)),YEAR(C28)=YEAR(EDATE(TODAY(),0-1)))</x:formula>
    </x:cfRule>
    <x:cfRule type="expression" dxfId="0" priority="311">
      <x:formula>$B28="土"</x:formula>
    </x:cfRule>
    <x:cfRule type="expression" dxfId="0" priority="312">
      <x:formula>$B28="日"</x:formula>
    </x:cfRule>
  </x:conditionalFormatting>
  <x:conditionalFormatting sqref="G28:G28">
    <x:cfRule type="expression" dxfId="3" priority="307">
      <x:formula>$B28="土"</x:formula>
    </x:cfRule>
    <x:cfRule type="expression" dxfId="3" priority="308">
      <x:formula>$B28="日"</x:formula>
    </x:cfRule>
    <x:cfRule type="timePeriod" dxfId="1" priority="309" timePeriod="lastMonth">
      <x:formula>AND(MONTH(G28)=MONTH(EDATE(TODAY(),0-1)),YEAR(G28)=YEAR(EDATE(TODAY(),0-1)))</x:formula>
    </x:cfRule>
  </x:conditionalFormatting>
  <x:conditionalFormatting sqref="I28:I28">
    <x:cfRule type="expression" dxfId="0" priority="250">
      <x:formula>$B28="土"</x:formula>
    </x:cfRule>
    <x:cfRule type="expression" dxfId="0" priority="251">
      <x:formula>$B28="日"</x:formula>
    </x:cfRule>
    <x:cfRule type="timePeriod" dxfId="1" priority="252" timePeriod="lastMonth">
      <x:formula>AND(MONTH(I28)=MONTH(EDATE(TODAY(),0-1)),YEAR(I28)=YEAR(EDATE(TODAY(),0-1)))</x:formula>
    </x:cfRule>
  </x:conditionalFormatting>
  <x:conditionalFormatting sqref="C29:C29">
    <x:cfRule type="expression" dxfId="0" priority="59">
      <x:formula>$B29="土"</x:formula>
    </x:cfRule>
    <x:cfRule type="expression" dxfId="0" priority="60">
      <x:formula>$B29="日"</x:formula>
    </x:cfRule>
  </x:conditionalFormatting>
  <x:conditionalFormatting sqref="D29:E29">
    <x:cfRule type="timePeriod" dxfId="1" priority="61" timePeriod="lastMonth">
      <x:formula>AND(MONTH(D29)=MONTH(EDATE(TODAY(),0-1)),YEAR(D29)=YEAR(EDATE(TODAY(),0-1)))</x:formula>
    </x:cfRule>
    <x:cfRule type="expression" dxfId="0" priority="62">
      <x:formula>$B29="土"</x:formula>
    </x:cfRule>
    <x:cfRule type="expression" dxfId="0" priority="63">
      <x:formula>$B29="日"</x:formula>
    </x:cfRule>
  </x:conditionalFormatting>
  <x:conditionalFormatting sqref="F29:F29">
    <x:cfRule type="timePeriod" dxfId="1" priority="53" timePeriod="lastMonth">
      <x:formula>AND(MONTH(F29)=MONTH(EDATE(TODAY(),0-1)),YEAR(F29)=YEAR(EDATE(TODAY(),0-1)))</x:formula>
    </x:cfRule>
    <x:cfRule type="expression" dxfId="0" priority="54">
      <x:formula>$B29="土"</x:formula>
    </x:cfRule>
    <x:cfRule type="expression" dxfId="0" priority="55">
      <x:formula>$B29="日"</x:formula>
    </x:cfRule>
  </x:conditionalFormatting>
  <x:conditionalFormatting sqref="G29:G29">
    <x:cfRule type="expression" dxfId="3" priority="56">
      <x:formula>$B29="土"</x:formula>
    </x:cfRule>
    <x:cfRule type="expression" dxfId="3" priority="57">
      <x:formula>$B29="日"</x:formula>
    </x:cfRule>
    <x:cfRule type="timePeriod" dxfId="1" priority="58" timePeriod="lastMonth">
      <x:formula>AND(MONTH(G29)=MONTH(EDATE(TODAY(),0-1)),YEAR(G29)=YEAR(EDATE(TODAY(),0-1)))</x:formula>
    </x:cfRule>
  </x:conditionalFormatting>
  <x:conditionalFormatting sqref="H29:H29">
    <x:cfRule type="expression" dxfId="0" priority="67">
      <x:formula>$B29="土"</x:formula>
    </x:cfRule>
    <x:cfRule type="expression" dxfId="0" priority="68">
      <x:formula>$B29="日"</x:formula>
    </x:cfRule>
    <x:cfRule type="timePeriod" dxfId="1" priority="69" timePeriod="lastMonth">
      <x:formula>AND(MONTH(H29)=MONTH(EDATE(TODAY(),0-1)),YEAR(H29)=YEAR(EDATE(TODAY(),0-1)))</x:formula>
    </x:cfRule>
  </x:conditionalFormatting>
  <x:conditionalFormatting sqref="I29:I29">
    <x:cfRule type="expression" dxfId="0" priority="64">
      <x:formula>$B29="土"</x:formula>
    </x:cfRule>
    <x:cfRule type="expression" dxfId="0" priority="65">
      <x:formula>$B29="日"</x:formula>
    </x:cfRule>
    <x:cfRule type="timePeriod" dxfId="1" priority="66" timePeriod="lastMonth">
      <x:formula>AND(MONTH(I29)=MONTH(EDATE(TODAY(),0-1)),YEAR(I29)=YEAR(EDATE(TODAY(),0-1)))</x:formula>
    </x:cfRule>
  </x:conditionalFormatting>
  <x:conditionalFormatting sqref="C30:C30">
    <x:cfRule type="expression" dxfId="0" priority="28">
      <x:formula>$B30="土"</x:formula>
    </x:cfRule>
    <x:cfRule type="expression" dxfId="0" priority="29">
      <x:formula>$B30="日"</x:formula>
    </x:cfRule>
  </x:conditionalFormatting>
  <x:conditionalFormatting sqref="D30:E30">
    <x:cfRule type="timePeriod" dxfId="1" priority="30" timePeriod="lastMonth">
      <x:formula>AND(MONTH(D30)=MONTH(EDATE(TODAY(),0-1)),YEAR(D30)=YEAR(EDATE(TODAY(),0-1)))</x:formula>
    </x:cfRule>
    <x:cfRule type="expression" dxfId="0" priority="31">
      <x:formula>$B30="土"</x:formula>
    </x:cfRule>
    <x:cfRule type="expression" dxfId="0" priority="32">
      <x:formula>$B30="日"</x:formula>
    </x:cfRule>
  </x:conditionalFormatting>
  <x:conditionalFormatting sqref="F30:F30">
    <x:cfRule type="timePeriod" dxfId="1" priority="22" timePeriod="lastMonth">
      <x:formula>AND(MONTH(F30)=MONTH(EDATE(TODAY(),0-1)),YEAR(F30)=YEAR(EDATE(TODAY(),0-1)))</x:formula>
    </x:cfRule>
    <x:cfRule type="expression" dxfId="0" priority="23">
      <x:formula>$B30="土"</x:formula>
    </x:cfRule>
    <x:cfRule type="expression" dxfId="0" priority="24">
      <x:formula>$B30="日"</x:formula>
    </x:cfRule>
  </x:conditionalFormatting>
  <x:conditionalFormatting sqref="G30:G30">
    <x:cfRule type="expression" dxfId="3" priority="25">
      <x:formula>$B30="土"</x:formula>
    </x:cfRule>
    <x:cfRule type="expression" dxfId="3" priority="26">
      <x:formula>$B30="日"</x:formula>
    </x:cfRule>
    <x:cfRule type="timePeriod" dxfId="1" priority="27" timePeriod="lastMonth">
      <x:formula>AND(MONTH(G30)=MONTH(EDATE(TODAY(),0-1)),YEAR(G30)=YEAR(EDATE(TODAY(),0-1)))</x:formula>
    </x:cfRule>
  </x:conditionalFormatting>
  <x:conditionalFormatting sqref="I30:I30">
    <x:cfRule type="expression" dxfId="0" priority="33">
      <x:formula>$B30="土"</x:formula>
    </x:cfRule>
    <x:cfRule type="expression" dxfId="0" priority="34">
      <x:formula>$B30="日"</x:formula>
    </x:cfRule>
    <x:cfRule type="timePeriod" dxfId="1" priority="35" timePeriod="lastMonth">
      <x:formula>AND(MONTH(I30)=MONTH(EDATE(TODAY(),0-1)),YEAR(I30)=YEAR(EDATE(TODAY(),0-1)))</x:formula>
    </x:cfRule>
  </x:conditionalFormatting>
  <x:conditionalFormatting sqref="J30:J30">
    <x:cfRule type="expression" dxfId="0" priority="433">
      <x:formula>$B30="土"</x:formula>
    </x:cfRule>
    <x:cfRule type="expression" dxfId="0" priority="434">
      <x:formula>$B30="日"</x:formula>
    </x:cfRule>
    <x:cfRule type="timePeriod" dxfId="1" priority="435" timePeriod="lastMonth">
      <x:formula>AND(MONTH(J30)=MONTH(EDATE(TODAY(),0-1)),YEAR(J30)=YEAR(EDATE(TODAY(),0-1)))</x:formula>
    </x:cfRule>
  </x:conditionalFormatting>
  <x:conditionalFormatting sqref="K30:K30">
    <x:cfRule type="timePeriod" dxfId="1" priority="431" timePeriod="lastMonth">
      <x:formula>AND(MONTH(K30)=MONTH(EDATE(TODAY(),0-1)),YEAR(K30)=YEAR(EDATE(TODAY(),0-1)))</x:formula>
    </x:cfRule>
    <x:cfRule type="expression" dxfId="3" priority="432">
      <x:formula>WEEKDAY(K$10)=L$4</x:formula>
    </x:cfRule>
  </x:conditionalFormatting>
  <x:conditionalFormatting sqref="C31:F31">
    <x:cfRule type="timePeriod" dxfId="1" priority="304" timePeriod="lastMonth">
      <x:formula>AND(MONTH(C31)=MONTH(EDATE(TODAY(),0-1)),YEAR(C31)=YEAR(EDATE(TODAY(),0-1)))</x:formula>
    </x:cfRule>
    <x:cfRule type="expression" dxfId="0" priority="305">
      <x:formula>$B31="土"</x:formula>
    </x:cfRule>
    <x:cfRule type="expression" dxfId="0" priority="306">
      <x:formula>$B31="日"</x:formula>
    </x:cfRule>
  </x:conditionalFormatting>
  <x:conditionalFormatting sqref="G31:G31">
    <x:cfRule type="expression" dxfId="3" priority="301">
      <x:formula>$B31="土"</x:formula>
    </x:cfRule>
    <x:cfRule type="expression" dxfId="3" priority="302">
      <x:formula>$B31="日"</x:formula>
    </x:cfRule>
    <x:cfRule type="timePeriod" dxfId="1" priority="303" timePeriod="lastMonth">
      <x:formula>AND(MONTH(G31)=MONTH(EDATE(TODAY(),0-1)),YEAR(G31)=YEAR(EDATE(TODAY(),0-1)))</x:formula>
    </x:cfRule>
  </x:conditionalFormatting>
  <x:conditionalFormatting sqref="I31:I31">
    <x:cfRule type="expression" dxfId="0" priority="247">
      <x:formula>$B31="土"</x:formula>
    </x:cfRule>
    <x:cfRule type="expression" dxfId="0" priority="248">
      <x:formula>$B31="日"</x:formula>
    </x:cfRule>
    <x:cfRule type="timePeriod" dxfId="1" priority="249" timePeriod="lastMonth">
      <x:formula>AND(MONTH(I31)=MONTH(EDATE(TODAY(),0-1)),YEAR(I31)=YEAR(EDATE(TODAY(),0-1)))</x:formula>
    </x:cfRule>
  </x:conditionalFormatting>
  <x:conditionalFormatting sqref="J31:J31">
    <x:cfRule type="expression" dxfId="0" priority="455">
      <x:formula>$B31="土"</x:formula>
    </x:cfRule>
    <x:cfRule type="expression" dxfId="0" priority="456">
      <x:formula>$B31="日"</x:formula>
    </x:cfRule>
    <x:cfRule type="timePeriod" dxfId="1" priority="457" timePeriod="lastMonth">
      <x:formula>AND(MONTH(J31)=MONTH(EDATE(TODAY(),0-1)),YEAR(J31)=YEAR(EDATE(TODAY(),0-1)))</x:formula>
    </x:cfRule>
  </x:conditionalFormatting>
  <x:conditionalFormatting sqref="K31:K31">
    <x:cfRule type="timePeriod" dxfId="1" priority="453" timePeriod="lastMonth">
      <x:formula>AND(MONTH(K31)=MONTH(EDATE(TODAY(),0-1)),YEAR(K31)=YEAR(EDATE(TODAY(),0-1)))</x:formula>
    </x:cfRule>
    <x:cfRule type="expression" dxfId="3" priority="454">
      <x:formula>WEEKDAY(K$10)=L$4</x:formula>
    </x:cfRule>
  </x:conditionalFormatting>
  <x:conditionalFormatting sqref="I32:I32">
    <x:cfRule type="expression" dxfId="0" priority="244">
      <x:formula>$B32="土"</x:formula>
    </x:cfRule>
    <x:cfRule type="expression" dxfId="0" priority="245">
      <x:formula>$B32="日"</x:formula>
    </x:cfRule>
    <x:cfRule type="timePeriod" dxfId="1" priority="246" timePeriod="lastMonth">
      <x:formula>AND(MONTH(I32)=MONTH(EDATE(TODAY(),0-1)),YEAR(I32)=YEAR(EDATE(TODAY(),0-1)))</x:formula>
    </x:cfRule>
  </x:conditionalFormatting>
  <x:conditionalFormatting sqref="I33:I33">
    <x:cfRule type="expression" dxfId="0" priority="241">
      <x:formula>$B33="土"</x:formula>
    </x:cfRule>
    <x:cfRule type="expression" dxfId="0" priority="242">
      <x:formula>$B33="日"</x:formula>
    </x:cfRule>
    <x:cfRule type="timePeriod" dxfId="1" priority="243" timePeriod="lastMonth">
      <x:formula>AND(MONTH(I33)=MONTH(EDATE(TODAY(),0-1)),YEAR(I33)=YEAR(EDATE(TODAY(),0-1)))</x:formula>
    </x:cfRule>
  </x:conditionalFormatting>
  <x:conditionalFormatting sqref="C34:F34">
    <x:cfRule type="timePeriod" dxfId="1" priority="298" timePeriod="lastMonth">
      <x:formula>AND(MONTH(C34)=MONTH(EDATE(TODAY(),0-1)),YEAR(C34)=YEAR(EDATE(TODAY(),0-1)))</x:formula>
    </x:cfRule>
    <x:cfRule type="expression" dxfId="0" priority="299">
      <x:formula>$B34="土"</x:formula>
    </x:cfRule>
    <x:cfRule type="expression" dxfId="0" priority="300">
      <x:formula>$B34="日"</x:formula>
    </x:cfRule>
  </x:conditionalFormatting>
  <x:conditionalFormatting sqref="G34:G34">
    <x:cfRule type="expression" dxfId="3" priority="295">
      <x:formula>$B34="土"</x:formula>
    </x:cfRule>
    <x:cfRule type="expression" dxfId="3" priority="296">
      <x:formula>$B34="日"</x:formula>
    </x:cfRule>
    <x:cfRule type="timePeriod" dxfId="1" priority="297" timePeriod="lastMonth">
      <x:formula>AND(MONTH(G34)=MONTH(EDATE(TODAY(),0-1)),YEAR(G34)=YEAR(EDATE(TODAY(),0-1)))</x:formula>
    </x:cfRule>
  </x:conditionalFormatting>
  <x:conditionalFormatting sqref="H34:H34">
    <x:cfRule type="expression" dxfId="0" priority="203">
      <x:formula>$B34="土"</x:formula>
    </x:cfRule>
    <x:cfRule type="expression" dxfId="0" priority="204">
      <x:formula>$B34="日"</x:formula>
    </x:cfRule>
    <x:cfRule type="timePeriod" dxfId="1" priority="205" timePeriod="lastMonth">
      <x:formula>AND(MONTH(H34)=MONTH(EDATE(TODAY(),0-1)),YEAR(H34)=YEAR(EDATE(TODAY(),0-1)))</x:formula>
    </x:cfRule>
  </x:conditionalFormatting>
  <x:conditionalFormatting sqref="I34:I34">
    <x:cfRule type="expression" dxfId="0" priority="238">
      <x:formula>$B34="土"</x:formula>
    </x:cfRule>
    <x:cfRule type="expression" dxfId="0" priority="239">
      <x:formula>$B34="日"</x:formula>
    </x:cfRule>
    <x:cfRule type="timePeriod" dxfId="1" priority="240" timePeriod="lastMonth">
      <x:formula>AND(MONTH(I34)=MONTH(EDATE(TODAY(),0-1)),YEAR(I34)=YEAR(EDATE(TODAY(),0-1)))</x:formula>
    </x:cfRule>
  </x:conditionalFormatting>
  <x:conditionalFormatting sqref="C35:F35">
    <x:cfRule type="timePeriod" dxfId="1" priority="292" timePeriod="lastMonth">
      <x:formula>AND(MONTH(C35)=MONTH(EDATE(TODAY(),0-1)),YEAR(C35)=YEAR(EDATE(TODAY(),0-1)))</x:formula>
    </x:cfRule>
    <x:cfRule type="expression" dxfId="0" priority="293">
      <x:formula>$B35="土"</x:formula>
    </x:cfRule>
    <x:cfRule type="expression" dxfId="0" priority="294">
      <x:formula>$B35="日"</x:formula>
    </x:cfRule>
  </x:conditionalFormatting>
  <x:conditionalFormatting sqref="G35:G35">
    <x:cfRule type="expression" dxfId="3" priority="289">
      <x:formula>$B35="土"</x:formula>
    </x:cfRule>
    <x:cfRule type="expression" dxfId="3" priority="290">
      <x:formula>$B35="日"</x:formula>
    </x:cfRule>
    <x:cfRule type="timePeriod" dxfId="1" priority="291" timePeriod="lastMonth">
      <x:formula>AND(MONTH(G35)=MONTH(EDATE(TODAY(),0-1)),YEAR(G35)=YEAR(EDATE(TODAY(),0-1)))</x:formula>
    </x:cfRule>
  </x:conditionalFormatting>
  <x:conditionalFormatting sqref="H35:H35">
    <x:cfRule type="timePeriod" dxfId="1" priority="226" timePeriod="lastMonth">
      <x:formula>AND(MONTH(H35)=MONTH(EDATE(TODAY(),0-1)),YEAR(H35)=YEAR(EDATE(TODAY(),0-1)))</x:formula>
    </x:cfRule>
    <x:cfRule type="expression" dxfId="0" priority="227">
      <x:formula>$B35="土"</x:formula>
    </x:cfRule>
    <x:cfRule type="expression" dxfId="0" priority="228">
      <x:formula>$B35="日"</x:formula>
    </x:cfRule>
  </x:conditionalFormatting>
  <x:conditionalFormatting sqref="I35:I35">
    <x:cfRule type="expression" dxfId="0" priority="235">
      <x:formula>$B35="土"</x:formula>
    </x:cfRule>
    <x:cfRule type="expression" dxfId="0" priority="236">
      <x:formula>$B35="日"</x:formula>
    </x:cfRule>
    <x:cfRule type="timePeriod" dxfId="1" priority="237" timePeriod="lastMonth">
      <x:formula>AND(MONTH(I35)=MONTH(EDATE(TODAY(),0-1)),YEAR(I35)=YEAR(EDATE(TODAY(),0-1)))</x:formula>
    </x:cfRule>
  </x:conditionalFormatting>
  <x:conditionalFormatting sqref="C36:F36">
    <x:cfRule type="timePeriod" dxfId="1" priority="16" timePeriod="lastMonth">
      <x:formula>AND(MONTH(C36)=MONTH(EDATE(TODAY(),0-1)),YEAR(C36)=YEAR(EDATE(TODAY(),0-1)))</x:formula>
    </x:cfRule>
    <x:cfRule type="expression" dxfId="0" priority="17">
      <x:formula>$B36="土"</x:formula>
    </x:cfRule>
    <x:cfRule type="expression" dxfId="0" priority="18">
      <x:formula>$B36="日"</x:formula>
    </x:cfRule>
  </x:conditionalFormatting>
  <x:conditionalFormatting sqref="G36:G36">
    <x:cfRule type="expression" dxfId="3" priority="13">
      <x:formula>$B36="土"</x:formula>
    </x:cfRule>
    <x:cfRule type="expression" dxfId="3" priority="14">
      <x:formula>$B36="日"</x:formula>
    </x:cfRule>
    <x:cfRule type="timePeriod" dxfId="1" priority="15" timePeriod="lastMonth">
      <x:formula>AND(MONTH(G36)=MONTH(EDATE(TODAY(),0-1)),YEAR(G36)=YEAR(EDATE(TODAY(),0-1)))</x:formula>
    </x:cfRule>
  </x:conditionalFormatting>
  <x:conditionalFormatting sqref="H36:H36">
    <x:cfRule type="expression" dxfId="0" priority="286">
      <x:formula>$B36="土"</x:formula>
    </x:cfRule>
    <x:cfRule type="expression" dxfId="0" priority="287">
      <x:formula>$B36="日"</x:formula>
    </x:cfRule>
    <x:cfRule type="timePeriod" dxfId="1" priority="288" timePeriod="lastMonth">
      <x:formula>AND(MONTH(H36)=MONTH(EDATE(TODAY(),0-1)),YEAR(H36)=YEAR(EDATE(TODAY(),0-1)))</x:formula>
    </x:cfRule>
  </x:conditionalFormatting>
  <x:conditionalFormatting sqref="I36:I36">
    <x:cfRule type="expression" dxfId="0" priority="283">
      <x:formula>$B36="土"</x:formula>
    </x:cfRule>
    <x:cfRule type="expression" dxfId="0" priority="284">
      <x:formula>$B36="日"</x:formula>
    </x:cfRule>
    <x:cfRule type="timePeriod" dxfId="1" priority="285" timePeriod="lastMonth">
      <x:formula>AND(MONTH(I36)=MONTH(EDATE(TODAY(),0-1)),YEAR(I36)=YEAR(EDATE(TODAY(),0-1)))</x:formula>
    </x:cfRule>
  </x:conditionalFormatting>
  <x:conditionalFormatting sqref="J36:J36">
    <x:cfRule type="expression" dxfId="0" priority="428">
      <x:formula>$B36="土"</x:formula>
    </x:cfRule>
    <x:cfRule type="expression" dxfId="0" priority="429">
      <x:formula>$B36="日"</x:formula>
    </x:cfRule>
    <x:cfRule type="timePeriod" dxfId="1" priority="430" timePeriod="lastMonth">
      <x:formula>AND(MONTH(J36)=MONTH(EDATE(TODAY(),0-1)),YEAR(J36)=YEAR(EDATE(TODAY(),0-1)))</x:formula>
    </x:cfRule>
  </x:conditionalFormatting>
  <x:conditionalFormatting sqref="K36:K36">
    <x:cfRule type="timePeriod" dxfId="1" priority="426" timePeriod="lastMonth">
      <x:formula>AND(MONTH(K36)=MONTH(EDATE(TODAY(),0-1)),YEAR(K36)=YEAR(EDATE(TODAY(),0-1)))</x:formula>
    </x:cfRule>
    <x:cfRule type="expression" dxfId="3" priority="427">
      <x:formula>WEEKDAY(K$10)=L$4</x:formula>
    </x:cfRule>
  </x:conditionalFormatting>
  <x:conditionalFormatting sqref="C37:F37">
    <x:cfRule type="timePeriod" dxfId="1" priority="10" timePeriod="lastMonth">
      <x:formula>AND(MONTH(C37)=MONTH(EDATE(TODAY(),0-1)),YEAR(C37)=YEAR(EDATE(TODAY(),0-1)))</x:formula>
    </x:cfRule>
    <x:cfRule type="expression" dxfId="0" priority="11">
      <x:formula>$B37="土"</x:formula>
    </x:cfRule>
    <x:cfRule type="expression" dxfId="0" priority="12">
      <x:formula>$B37="日"</x:formula>
    </x:cfRule>
  </x:conditionalFormatting>
  <x:conditionalFormatting sqref="G37:G37">
    <x:cfRule type="expression" dxfId="3" priority="7">
      <x:formula>$B37="土"</x:formula>
    </x:cfRule>
    <x:cfRule type="expression" dxfId="3" priority="8">
      <x:formula>$B37="日"</x:formula>
    </x:cfRule>
    <x:cfRule type="timePeriod" dxfId="1" priority="9" timePeriod="lastMonth">
      <x:formula>AND(MONTH(G37)=MONTH(EDATE(TODAY(),0-1)),YEAR(G37)=YEAR(EDATE(TODAY(),0-1)))</x:formula>
    </x:cfRule>
  </x:conditionalFormatting>
  <x:conditionalFormatting sqref="H37:H37">
    <x:cfRule type="expression" dxfId="0" priority="1">
      <x:formula>$B37="土"</x:formula>
    </x:cfRule>
    <x:cfRule type="expression" dxfId="0" priority="2">
      <x:formula>$B37="日"</x:formula>
    </x:cfRule>
    <x:cfRule type="timePeriod" dxfId="1" priority="3" timePeriod="lastMonth">
      <x:formula>AND(MONTH(H37)=MONTH(EDATE(TODAY(),0-1)),YEAR(H37)=YEAR(EDATE(TODAY(),0-1)))</x:formula>
    </x:cfRule>
  </x:conditionalFormatting>
  <x:conditionalFormatting sqref="I37:I37">
    <x:cfRule type="expression" dxfId="0" priority="4">
      <x:formula>$B37="土"</x:formula>
    </x:cfRule>
    <x:cfRule type="expression" dxfId="0" priority="5">
      <x:formula>$B37="日"</x:formula>
    </x:cfRule>
    <x:cfRule type="timePeriod" dxfId="1" priority="6" timePeriod="lastMonth">
      <x:formula>AND(MONTH(I37)=MONTH(EDATE(TODAY(),0-1)),YEAR(I37)=YEAR(EDATE(TODAY(),0-1)))</x:formula>
    </x:cfRule>
  </x:conditionalFormatting>
  <x:conditionalFormatting sqref="J37:J37">
    <x:cfRule type="expression" dxfId="0" priority="423">
      <x:formula>$B37="土"</x:formula>
    </x:cfRule>
    <x:cfRule type="expression" dxfId="0" priority="424">
      <x:formula>$B37="日"</x:formula>
    </x:cfRule>
    <x:cfRule type="timePeriod" dxfId="1" priority="425" timePeriod="lastMonth">
      <x:formula>AND(MONTH(J37)=MONTH(EDATE(TODAY(),0-1)),YEAR(J37)=YEAR(EDATE(TODAY(),0-1)))</x:formula>
    </x:cfRule>
  </x:conditionalFormatting>
  <x:conditionalFormatting sqref="K37:K37">
    <x:cfRule type="timePeriod" dxfId="1" priority="421" timePeriod="lastMonth">
      <x:formula>AND(MONTH(K37)=MONTH(EDATE(TODAY(),0-1)),YEAR(K37)=YEAR(EDATE(TODAY(),0-1)))</x:formula>
    </x:cfRule>
    <x:cfRule type="expression" dxfId="3" priority="422">
      <x:formula>WEEKDAY(K$10)=L$4</x:formula>
    </x:cfRule>
  </x:conditionalFormatting>
  <x:conditionalFormatting sqref="C38:F38">
    <x:cfRule type="timePeriod" dxfId="1" priority="280" timePeriod="lastMonth">
      <x:formula>AND(MONTH(C38)=MONTH(EDATE(TODAY(),0-1)),YEAR(C38)=YEAR(EDATE(TODAY(),0-1)))</x:formula>
    </x:cfRule>
    <x:cfRule type="expression" dxfId="0" priority="281">
      <x:formula>$B38="土"</x:formula>
    </x:cfRule>
    <x:cfRule type="expression" dxfId="0" priority="282">
      <x:formula>$B38="日"</x:formula>
    </x:cfRule>
  </x:conditionalFormatting>
  <x:conditionalFormatting sqref="G38:G38">
    <x:cfRule type="expression" dxfId="3" priority="277">
      <x:formula>$B38="土"</x:formula>
    </x:cfRule>
    <x:cfRule type="expression" dxfId="3" priority="278">
      <x:formula>$B38="日"</x:formula>
    </x:cfRule>
    <x:cfRule type="timePeriod" dxfId="1" priority="279" timePeriod="lastMonth">
      <x:formula>AND(MONTH(G38)=MONTH(EDATE(TODAY(),0-1)),YEAR(G38)=YEAR(EDATE(TODAY(),0-1)))</x:formula>
    </x:cfRule>
  </x:conditionalFormatting>
  <x:conditionalFormatting sqref="H38:H38">
    <x:cfRule type="expression" dxfId="0" priority="200">
      <x:formula>$B38="土"</x:formula>
    </x:cfRule>
    <x:cfRule type="expression" dxfId="0" priority="201">
      <x:formula>$B38="日"</x:formula>
    </x:cfRule>
    <x:cfRule type="timePeriod" dxfId="1" priority="202" timePeriod="lastMonth">
      <x:formula>AND(MONTH(H38)=MONTH(EDATE(TODAY(),0-1)),YEAR(H38)=YEAR(EDATE(TODAY(),0-1)))</x:formula>
    </x:cfRule>
  </x:conditionalFormatting>
  <x:conditionalFormatting sqref="J38:J38">
    <x:cfRule type="expression" dxfId="0" priority="450">
      <x:formula>$B38="土"</x:formula>
    </x:cfRule>
    <x:cfRule type="expression" dxfId="0" priority="451">
      <x:formula>$B38="日"</x:formula>
    </x:cfRule>
    <x:cfRule type="timePeriod" dxfId="1" priority="452" timePeriod="lastMonth">
      <x:formula>AND(MONTH(J38)=MONTH(EDATE(TODAY(),0-1)),YEAR(J38)=YEAR(EDATE(TODAY(),0-1)))</x:formula>
    </x:cfRule>
  </x:conditionalFormatting>
  <x:conditionalFormatting sqref="K38:K38">
    <x:cfRule type="timePeriod" dxfId="1" priority="448" timePeriod="lastMonth">
      <x:formula>AND(MONTH(K38)=MONTH(EDATE(TODAY(),0-1)),YEAR(K38)=YEAR(EDATE(TODAY(),0-1)))</x:formula>
    </x:cfRule>
    <x:cfRule type="expression" dxfId="3" priority="449">
      <x:formula>WEEKDAY(K$10)=L$4</x:formula>
    </x:cfRule>
  </x:conditionalFormatting>
  <x:conditionalFormatting sqref="H39:H39">
    <x:cfRule type="expression" dxfId="0" priority="197">
      <x:formula>$B39="土"</x:formula>
    </x:cfRule>
    <x:cfRule type="expression" dxfId="0" priority="198">
      <x:formula>$B39="日"</x:formula>
    </x:cfRule>
    <x:cfRule type="timePeriod" dxfId="1" priority="199" timePeriod="lastMonth">
      <x:formula>AND(MONTH(H39)=MONTH(EDATE(TODAY(),0-1)),YEAR(H39)=YEAR(EDATE(TODAY(),0-1)))</x:formula>
    </x:cfRule>
  </x:conditionalFormatting>
  <x:conditionalFormatting sqref="A25:A29">
    <x:cfRule type="expression" dxfId="0" priority="409">
      <x:formula>$B25="土"</x:formula>
    </x:cfRule>
    <x:cfRule type="expression" dxfId="0" priority="410">
      <x:formula>$B25="日"</x:formula>
    </x:cfRule>
  </x:conditionalFormatting>
  <x:conditionalFormatting sqref="B25:B26">
    <x:cfRule type="expression" dxfId="0" priority="483">
      <x:formula>$B25="土"</x:formula>
    </x:cfRule>
    <x:cfRule type="expression" dxfId="0" priority="484">
      <x:formula>$B25="日"</x:formula>
    </x:cfRule>
  </x:conditionalFormatting>
  <x:conditionalFormatting sqref="F10:F14">
    <x:cfRule type="timePeriod" dxfId="1" priority="274" timePeriod="lastMonth">
      <x:formula>AND(MONTH(F10)=MONTH(EDATE(TODAY(),0-1)),YEAR(F10)=YEAR(EDATE(TODAY(),0-1)))</x:formula>
    </x:cfRule>
    <x:cfRule type="expression" dxfId="0" priority="275">
      <x:formula>$B10="土"</x:formula>
    </x:cfRule>
    <x:cfRule type="expression" dxfId="0" priority="276">
      <x:formula>$B10="日"</x:formula>
    </x:cfRule>
  </x:conditionalFormatting>
  <x:conditionalFormatting sqref="F39:F40">
    <x:cfRule type="timePeriod" dxfId="1" priority="271" timePeriod="lastMonth">
      <x:formula>AND(MONTH(F39)=MONTH(EDATE(TODAY(),0-1)),YEAR(F39)=YEAR(EDATE(TODAY(),0-1)))</x:formula>
    </x:cfRule>
    <x:cfRule type="expression" dxfId="0" priority="272">
      <x:formula>$B39="土"</x:formula>
    </x:cfRule>
    <x:cfRule type="expression" dxfId="0" priority="273">
      <x:formula>$B39="日"</x:formula>
    </x:cfRule>
  </x:conditionalFormatting>
  <x:conditionalFormatting sqref="G24:G25">
    <x:cfRule type="expression" dxfId="3" priority="76">
      <x:formula>$B24="土"</x:formula>
    </x:cfRule>
    <x:cfRule type="expression" dxfId="3" priority="77">
      <x:formula>$B24="日"</x:formula>
    </x:cfRule>
    <x:cfRule type="timePeriod" dxfId="1" priority="78" timePeriod="lastMonth">
      <x:formula>AND(MONTH(G24)=MONTH(EDATE(TODAY(),0-1)),YEAR(G24)=YEAR(EDATE(TODAY(),0-1)))</x:formula>
    </x:cfRule>
  </x:conditionalFormatting>
  <x:conditionalFormatting sqref="G32:G33">
    <x:cfRule type="expression" dxfId="3" priority="390">
      <x:formula>$B32="土"</x:formula>
    </x:cfRule>
    <x:cfRule type="expression" dxfId="3" priority="391">
      <x:formula>$B32="日"</x:formula>
    </x:cfRule>
    <x:cfRule type="timePeriod" dxfId="1" priority="392" timePeriod="lastMonth">
      <x:formula>AND(MONTH(G32)=MONTH(EDATE(TODAY(),0-1)),YEAR(G32)=YEAR(EDATE(TODAY(),0-1)))</x:formula>
    </x:cfRule>
  </x:conditionalFormatting>
  <x:conditionalFormatting sqref="G39:G40">
    <x:cfRule type="expression" dxfId="3" priority="377">
      <x:formula>$B39="土"</x:formula>
    </x:cfRule>
    <x:cfRule type="expression" dxfId="3" priority="378">
      <x:formula>$B39="日"</x:formula>
    </x:cfRule>
    <x:cfRule type="timePeriod" dxfId="1" priority="379" timePeriod="lastMonth">
      <x:formula>AND(MONTH(G39)=MONTH(EDATE(TODAY(),0-1)),YEAR(G39)=YEAR(EDATE(TODAY(),0-1)))</x:formula>
    </x:cfRule>
  </x:conditionalFormatting>
  <x:conditionalFormatting sqref="H24:H25">
    <x:cfRule type="expression" dxfId="0" priority="70">
      <x:formula>$B24="土"</x:formula>
    </x:cfRule>
    <x:cfRule type="expression" dxfId="0" priority="71">
      <x:formula>$B24="日"</x:formula>
    </x:cfRule>
    <x:cfRule type="timePeriod" dxfId="1" priority="72" timePeriod="lastMonth">
      <x:formula>AND(MONTH(H24)=MONTH(EDATE(TODAY(),0-1)),YEAR(H24)=YEAR(EDATE(TODAY(),0-1)))</x:formula>
    </x:cfRule>
  </x:conditionalFormatting>
  <x:conditionalFormatting sqref="H27:H28">
    <x:cfRule type="timePeriod" dxfId="1" priority="212" timePeriod="lastMonth">
      <x:formula>AND(MONTH(H27)=MONTH(EDATE(TODAY(),0-1)),YEAR(H27)=YEAR(EDATE(TODAY(),0-1)))</x:formula>
    </x:cfRule>
    <x:cfRule type="expression" dxfId="0" priority="213">
      <x:formula>$B27="土"</x:formula>
    </x:cfRule>
    <x:cfRule type="expression" dxfId="0" priority="214">
      <x:formula>$B27="日"</x:formula>
    </x:cfRule>
  </x:conditionalFormatting>
  <x:conditionalFormatting sqref="H30:H33">
    <x:cfRule type="expression" dxfId="0" priority="19">
      <x:formula>$B30="土"</x:formula>
    </x:cfRule>
    <x:cfRule type="expression" dxfId="0" priority="20">
      <x:formula>$B30="日"</x:formula>
    </x:cfRule>
    <x:cfRule type="timePeriod" dxfId="1" priority="21" timePeriod="lastMonth">
      <x:formula>AND(MONTH(H30)=MONTH(EDATE(TODAY(),0-1)),YEAR(H30)=YEAR(EDATE(TODAY(),0-1)))</x:formula>
    </x:cfRule>
  </x:conditionalFormatting>
  <x:conditionalFormatting sqref="I24:I25">
    <x:cfRule type="expression" dxfId="0" priority="73">
      <x:formula>$B24="土"</x:formula>
    </x:cfRule>
    <x:cfRule type="expression" dxfId="0" priority="74">
      <x:formula>$B24="日"</x:formula>
    </x:cfRule>
    <x:cfRule type="timePeriod" dxfId="1" priority="75" timePeriod="lastMonth">
      <x:formula>AND(MONTH(I24)=MONTH(EDATE(TODAY(),0-1)),YEAR(I24)=YEAR(EDATE(TODAY(),0-1)))</x:formula>
    </x:cfRule>
  </x:conditionalFormatting>
  <x:conditionalFormatting sqref="I38:I40">
    <x:cfRule type="expression" dxfId="0" priority="232">
      <x:formula>$B38="土"</x:formula>
    </x:cfRule>
    <x:cfRule type="expression" dxfId="0" priority="233">
      <x:formula>$B38="日"</x:formula>
    </x:cfRule>
    <x:cfRule type="timePeriod" dxfId="1" priority="234" timePeriod="lastMonth">
      <x:formula>AND(MONTH(I38)=MONTH(EDATE(TODAY(),0-1)),YEAR(I38)=YEAR(EDATE(TODAY(),0-1)))</x:formula>
    </x:cfRule>
  </x:conditionalFormatting>
  <x:conditionalFormatting sqref="J25:J29">
    <x:cfRule type="timePeriod" dxfId="1" priority="406" timePeriod="lastMonth">
      <x:formula>AND(MONTH(J25)=MONTH(EDATE(TODAY(),0-1)),YEAR(J25)=YEAR(EDATE(TODAY(),0-1)))</x:formula>
    </x:cfRule>
    <x:cfRule type="expression" dxfId="0" priority="407">
      <x:formula>$B25="土"</x:formula>
    </x:cfRule>
    <x:cfRule type="expression" dxfId="0" priority="408">
      <x:formula>$B25="日"</x:formula>
    </x:cfRule>
  </x:conditionalFormatting>
  <x:conditionalFormatting sqref="J32:J35">
    <x:cfRule type="expression" dxfId="0" priority="387">
      <x:formula>$B32="土"</x:formula>
    </x:cfRule>
    <x:cfRule type="expression" dxfId="0" priority="388">
      <x:formula>$B32="日"</x:formula>
    </x:cfRule>
    <x:cfRule type="timePeriod" dxfId="1" priority="389" timePeriod="lastMonth">
      <x:formula>AND(MONTH(J32)=MONTH(EDATE(TODAY(),0-1)),YEAR(J32)=YEAR(EDATE(TODAY(),0-1)))</x:formula>
    </x:cfRule>
  </x:conditionalFormatting>
  <x:conditionalFormatting sqref="J39:J40">
    <x:cfRule type="expression" dxfId="0" priority="445">
      <x:formula>$B39="土"</x:formula>
    </x:cfRule>
    <x:cfRule type="expression" dxfId="0" priority="446">
      <x:formula>$B39="日"</x:formula>
    </x:cfRule>
    <x:cfRule type="timePeriod" dxfId="1" priority="447" timePeriod="lastMonth">
      <x:formula>AND(MONTH(J39)=MONTH(EDATE(TODAY(),0-1)),YEAR(J39)=YEAR(EDATE(TODAY(),0-1)))</x:formula>
    </x:cfRule>
  </x:conditionalFormatting>
  <x:conditionalFormatting sqref="K11:K12">
    <x:cfRule type="timePeriod" dxfId="1" priority="463" timePeriod="lastMonth">
      <x:formula>AND(MONTH(K11)=MONTH(EDATE(TODAY(),0-1)),YEAR(K11)=YEAR(EDATE(TODAY(),0-1)))</x:formula>
    </x:cfRule>
    <x:cfRule type="expression" dxfId="3" priority="464">
      <x:formula>WEEKDAY(K$10)=L$4</x:formula>
    </x:cfRule>
  </x:conditionalFormatting>
  <x:conditionalFormatting sqref="K13:K14">
    <x:cfRule type="expression" dxfId="0" priority="366">
      <x:formula>$B13="土"</x:formula>
    </x:cfRule>
    <x:cfRule type="expression" dxfId="0" priority="367">
      <x:formula>$B13="日"</x:formula>
    </x:cfRule>
    <x:cfRule type="timePeriod" dxfId="1" priority="368" timePeriod="lastMonth">
      <x:formula>AND(MONTH(K13)=MONTH(EDATE(TODAY(),0-1)),YEAR(K13)=YEAR(EDATE(TODAY(),0-1)))</x:formula>
    </x:cfRule>
  </x:conditionalFormatting>
  <x:conditionalFormatting sqref="K27:K28">
    <x:cfRule type="expression" dxfId="0" priority="360">
      <x:formula>$B27="土"</x:formula>
    </x:cfRule>
    <x:cfRule type="expression" dxfId="0" priority="361">
      <x:formula>$B27="日"</x:formula>
    </x:cfRule>
    <x:cfRule type="timePeriod" dxfId="1" priority="362" timePeriod="lastMonth">
      <x:formula>AND(MONTH(K27)=MONTH(EDATE(TODAY(),0-1)),YEAR(K27)=YEAR(EDATE(TODAY(),0-1)))</x:formula>
    </x:cfRule>
  </x:conditionalFormatting>
  <x:conditionalFormatting sqref="K32:K33">
    <x:cfRule type="timePeriod" dxfId="1" priority="385" timePeriod="lastMonth">
      <x:formula>AND(MONTH(K32)=MONTH(EDATE(TODAY(),0-1)),YEAR(K32)=YEAR(EDATE(TODAY(),0-1)))</x:formula>
    </x:cfRule>
    <x:cfRule type="expression" dxfId="3" priority="386">
      <x:formula>WEEKDAY(K$10)=L$4</x:formula>
    </x:cfRule>
  </x:conditionalFormatting>
  <x:conditionalFormatting sqref="K34:K35">
    <x:cfRule type="expression" dxfId="0" priority="357">
      <x:formula>$B34="土"</x:formula>
    </x:cfRule>
    <x:cfRule type="expression" dxfId="0" priority="358">
      <x:formula>$B34="日"</x:formula>
    </x:cfRule>
    <x:cfRule type="timePeriod" dxfId="1" priority="359" timePeriod="lastMonth">
      <x:formula>AND(MONTH(K34)=MONTH(EDATE(TODAY(),0-1)),YEAR(K34)=YEAR(EDATE(TODAY(),0-1)))</x:formula>
    </x:cfRule>
  </x:conditionalFormatting>
  <x:conditionalFormatting sqref="K39:K40">
    <x:cfRule type="timePeriod" dxfId="1" priority="443" timePeriod="lastMonth">
      <x:formula>AND(MONTH(K39)=MONTH(EDATE(TODAY(),0-1)),YEAR(K39)=YEAR(EDATE(TODAY(),0-1)))</x:formula>
    </x:cfRule>
    <x:cfRule type="expression" dxfId="3" priority="444">
      <x:formula>WEEKDAY(K$10)=L$4</x:formula>
    </x:cfRule>
  </x:conditionalFormatting>
  <x:conditionalFormatting sqref="A10:B19 A24:B24 A21:B22">
    <x:cfRule type="expression" dxfId="0" priority="485">
      <x:formula>$B10="土"</x:formula>
    </x:cfRule>
    <x:cfRule type="expression" dxfId="0" priority="486">
      <x:formula>$B10="日"</x:formula>
    </x:cfRule>
  </x:conditionalFormatting>
  <x:conditionalFormatting sqref="B10:B19 B21:B22 B24:B40">
    <x:cfRule type="timePeriod" dxfId="1" priority="487" timePeriod="lastMonth">
      <x:formula>AND(MONTH(B10)=MONTH(EDATE(TODAY(),0-1)),YEAR(B10)=YEAR(EDATE(TODAY(),0-1)))</x:formula>
    </x:cfRule>
  </x:conditionalFormatting>
  <x:conditionalFormatting sqref="C10:C10 J10:J10">
    <x:cfRule type="expression" dxfId="0" priority="351">
      <x:formula>$B10="土"</x:formula>
    </x:cfRule>
    <x:cfRule type="expression" dxfId="0" priority="352">
      <x:formula>$B10="日"</x:formula>
    </x:cfRule>
  </x:conditionalFormatting>
  <x:conditionalFormatting sqref="C11:C11 J11:J11">
    <x:cfRule type="expression" dxfId="0" priority="468">
      <x:formula>$B11="土"</x:formula>
    </x:cfRule>
    <x:cfRule type="expression" dxfId="0" priority="469">
      <x:formula>$B11="日"</x:formula>
    </x:cfRule>
  </x:conditionalFormatting>
  <x:conditionalFormatting sqref="D12:E13 C14:E14">
    <x:cfRule type="timePeriod" dxfId="1" priority="474" timePeriod="lastMonth">
      <x:formula>AND(MONTH(C12)=MONTH(EDATE(TODAY(),0-1)),YEAR(C12)=YEAR(EDATE(TODAY(),0-1)))</x:formula>
    </x:cfRule>
    <x:cfRule type="expression" dxfId="0" priority="475">
      <x:formula>$B12="土"</x:formula>
    </x:cfRule>
    <x:cfRule type="expression" dxfId="0" priority="476">
      <x:formula>$B12="日"</x:formula>
    </x:cfRule>
  </x:conditionalFormatting>
  <x:conditionalFormatting sqref="H14:J14 J16:J16 J12:J13">
    <x:cfRule type="expression" dxfId="0" priority="471">
      <x:formula>$B12="土"</x:formula>
    </x:cfRule>
    <x:cfRule type="expression" dxfId="0" priority="472">
      <x:formula>$B12="日"</x:formula>
    </x:cfRule>
    <x:cfRule type="timePeriod" dxfId="1" priority="473" timePeriod="lastMonth">
      <x:formula>AND(MONTH(H12)=MONTH(EDATE(TODAY(),0-1)),YEAR(H12)=YEAR(EDATE(TODAY(),0-1)))</x:formula>
    </x:cfRule>
  </x:conditionalFormatting>
  <x:conditionalFormatting sqref="H21:H21 J18:J19 J21:J22">
    <x:cfRule type="expression" dxfId="0" priority="398">
      <x:formula>$B18="土"</x:formula>
    </x:cfRule>
    <x:cfRule type="expression" dxfId="0" priority="399">
      <x:formula>$B18="日"</x:formula>
    </x:cfRule>
    <x:cfRule type="timePeriod" dxfId="1" priority="400" timePeriod="lastMonth">
      <x:formula>AND(MONTH(H18)=MONTH(EDATE(TODAY(),0-1)),YEAR(H18)=YEAR(EDATE(TODAY(),0-1)))</x:formula>
    </x:cfRule>
  </x:conditionalFormatting>
  <x:conditionalFormatting sqref="K18:K19 K22:K22">
    <x:cfRule type="timePeriod" dxfId="1" priority="396" timePeriod="lastMonth">
      <x:formula>AND(MONTH(K18)=MONTH(EDATE(TODAY(),0-1)),YEAR(K18)=YEAR(EDATE(TODAY(),0-1)))</x:formula>
    </x:cfRule>
    <x:cfRule type="expression" dxfId="3" priority="397">
      <x:formula>WEEKDAY(K$10)=L$4</x:formula>
    </x:cfRule>
  </x:conditionalFormatting>
  <x:conditionalFormatting sqref="C24:F25">
    <x:cfRule type="timePeriod" dxfId="1" priority="79" timePeriod="lastMonth">
      <x:formula>AND(MONTH(C24)=MONTH(EDATE(TODAY(),0-1)),YEAR(C24)=YEAR(EDATE(TODAY(),0-1)))</x:formula>
    </x:cfRule>
    <x:cfRule type="expression" dxfId="0" priority="80">
      <x:formula>$B24="土"</x:formula>
    </x:cfRule>
    <x:cfRule type="expression" dxfId="0" priority="81">
      <x:formula>$B24="日"</x:formula>
    </x:cfRule>
  </x:conditionalFormatting>
  <x:conditionalFormatting sqref="K25:K26 K29:K29">
    <x:cfRule type="timePeriod" dxfId="1" priority="383" timePeriod="lastMonth">
      <x:formula>AND(MONTH(K25)=MONTH(EDATE(TODAY(),0-1)),YEAR(K25)=YEAR(EDATE(TODAY(),0-1)))</x:formula>
    </x:cfRule>
    <x:cfRule type="expression" dxfId="3" priority="384">
      <x:formula>WEEKDAY(K$10)=L$4</x:formula>
    </x:cfRule>
  </x:conditionalFormatting>
  <x:conditionalFormatting sqref="A30:B31 B27:B29 A39:B40">
    <x:cfRule type="expression" dxfId="0" priority="479">
      <x:formula>$B27="土"</x:formula>
    </x:cfRule>
    <x:cfRule type="expression" dxfId="0" priority="480">
      <x:formula>$B27="日"</x:formula>
    </x:cfRule>
  </x:conditionalFormatting>
  <x:conditionalFormatting sqref="A32:B33">
    <x:cfRule type="expression" dxfId="0" priority="481">
      <x:formula>$B32="土"</x:formula>
    </x:cfRule>
    <x:cfRule type="expression" dxfId="0" priority="482">
      <x:formula>$B32="日"</x:formula>
    </x:cfRule>
  </x:conditionalFormatting>
  <x:conditionalFormatting sqref="C32:F33">
    <x:cfRule type="timePeriod" dxfId="1" priority="393" timePeriod="lastMonth">
      <x:formula>AND(MONTH(C32)=MONTH(EDATE(TODAY(),0-1)),YEAR(C32)=YEAR(EDATE(TODAY(),0-1)))</x:formula>
    </x:cfRule>
    <x:cfRule type="expression" dxfId="0" priority="394">
      <x:formula>$B32="土"</x:formula>
    </x:cfRule>
    <x:cfRule type="expression" dxfId="0" priority="395">
      <x:formula>$B32="日"</x:formula>
    </x:cfRule>
  </x:conditionalFormatting>
  <x:conditionalFormatting sqref="A34:B38">
    <x:cfRule type="expression" dxfId="0" priority="477">
      <x:formula>$B34="土"</x:formula>
    </x:cfRule>
    <x:cfRule type="expression" dxfId="0" priority="478">
      <x:formula>$B34="日"</x:formula>
    </x:cfRule>
  </x:conditionalFormatting>
  <x:conditionalFormatting sqref="C39:E40">
    <x:cfRule type="timePeriod" dxfId="1" priority="380" timePeriod="lastMonth">
      <x:formula>AND(MONTH(C39)=MONTH(EDATE(TODAY(),0-1)),YEAR(C39)=YEAR(EDATE(TODAY(),0-1)))</x:formula>
    </x:cfRule>
    <x:cfRule type="expression" dxfId="0" priority="381">
      <x:formula>$B39="土"</x:formula>
    </x:cfRule>
    <x:cfRule type="expression" dxfId="0" priority="382">
      <x:formula>$B39="日"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399999618530273"/>
  <x:cols>
    <x:col min="1" max="1" width="19.13888931274414" customWidth="1"/>
    <x:col min="2" max="2" width="4.287036895751953" customWidth="1"/>
    <x:col min="3" max="7" width="14.13888931274414" customWidth="1"/>
    <x:col min="8" max="8" width="15.712963104248047" customWidth="1"/>
    <x:col min="9" max="9" width="61.425926208496094" customWidth="1"/>
    <x:col min="10" max="10" width="17.425926208496094" customWidth="1"/>
    <x:col min="11" max="11" width="23.13888931274414" customWidth="1"/>
  </x:cols>
  <x:sheetData>
    <x:row r="5">
      <x:c r="A5" t="s">
        <x:v>27</x:v>
      </x:c>
      <x:c r="B5">
        <x:v>7</x:v>
      </x:c>
    </x:row>
    <x:row r="7">
      <x:c r="A7">
        <x:v>2026</x:v>
      </x:c>
      <x:c r="B7">
        <x:v>8</x:v>
      </x:c>
    </x:row>
    <x:row r="8">
      <x:c r="F8" s="1"/>
    </x:row>
    <x:row r="9" s="24" customFormat="1">
      <x:c r="A9" s="2"/>
      <x:c r="B9" s="2"/>
      <x:c r="C9" s="3" t="s">
        <x:v>10</x:v>
      </x:c>
      <x:c r="D9" s="3" t="s">
        <x:v>11</x:v>
      </x:c>
      <x:c r="E9" s="3" t="s">
        <x:v>12</x:v>
      </x:c>
      <x:c r="F9" s="3" t="s">
        <x:v>13</x:v>
      </x:c>
      <x:c r="G9" s="3" t="s">
        <x:v>14</x:v>
      </x:c>
      <x:c r="H9" s="3" t="s">
        <x:v>15</x:v>
      </x:c>
      <x:c r="I9" s="3" t="s">
        <x:v>16</x:v>
      </x:c>
      <x:c r="J9" s="3" t="s">
        <x:v>17</x:v>
      </x:c>
      <x:c r="K9" s="3" t="s">
        <x:v>18</x:v>
      </x:c>
    </x:row>
    <x:row r="10">
      <x:c r="A10" s="33" t="n">
        <x:f>DATE(A7,B7,1)</x:f>
        <x:v>46235</x:v>
      </x:c>
      <x:c r="B10" s="34" t="str">
        <x:f t="shared" ref="B10:B40" si="0">TEXT(A10,"ddd")</x:f>
        <x:v>Sat</x:v>
      </x:c>
      <x:c r="C10" s="35">
        <x:v>0.333333333333333</x:v>
      </x:c>
      <x:c r="D10" s="35">
        <x:v>0.875</x:v>
      </x:c>
      <x:c r="E10" s="35">
        <x:v>0.0833333333333333</x:v>
      </x:c>
      <x:c r="F10" s="36" t="n">
        <x:f t="shared" ref="F10:F14" si="1">D10-C10-E10</x:f>
        <x:v>0.45833333333333365</x:v>
      </x:c>
      <x:c r="G10" s="37" t="n">
        <x:f>D10-C10-E10</x:f>
        <x:v>0.45833333333333365</x:v>
      </x:c>
      <x:c r="H10" s="34" t="s">
        <x:v>28</x:v>
      </x:c>
      <x:c r="I10" s="34" t="s">
        <x:v>29</x:v>
      </x:c>
      <x:c r="J10" s="34"/>
      <x:c r="K10" s="42"/>
    </x:row>
    <x:row r="11">
      <x:c r="A11" s="38" t="n">
        <x:f t="shared" ref="A11:A40" si="2">A10+1</x:f>
        <x:v>46236</x:v>
      </x:c>
      <x:c r="B11" s="39" t="str">
        <x:f t="shared" si="0"/>
        <x:v>Sun</x:v>
      </x:c>
      <x:c r="C11" s="40"/>
      <x:c r="D11" s="40"/>
      <x:c r="E11" s="40"/>
      <x:c r="F11" s="40"/>
      <x:c r="G11" s="41"/>
      <x:c r="H11" s="39"/>
      <x:c r="I11" s="39"/>
      <x:c r="J11" s="39"/>
      <x:c r="K11" s="43"/>
    </x:row>
    <x:row r="12">
      <x:c r="A12" s="33">
        <x:f t="shared" si="2"/>
        <x:v>46237</x:v>
      </x:c>
      <x:c r="B12" s="34" t="str">
        <x:f t="shared" si="0"/>
        <x:v>Mon</x:v>
      </x:c>
      <x:c r="C12" s="35">
        <x:v>0.333333333333333</x:v>
      </x:c>
      <x:c r="D12" s="35">
        <x:v>0.875</x:v>
      </x:c>
      <x:c r="E12" s="35">
        <x:v>0.0833333333333333</x:v>
      </x:c>
      <x:c r="F12" s="36">
        <x:f t="shared" si="1"/>
        <x:v>0.458333333333333</x:v>
      </x:c>
      <x:c r="G12" s="37" t="n">
        <x:f t="shared" ref="G12:G37" si="3">D12-C12-E12</x:f>
        <x:v>0.45833333333333365</x:v>
      </x:c>
      <x:c r="H12" s="34" t="s">
        <x:v>28</x:v>
      </x:c>
      <x:c r="I12" s="11" t="s">
        <x:v>29</x:v>
      </x:c>
      <x:c r="J12" s="35"/>
      <x:c r="K12" s="42"/>
    </x:row>
    <x:row r="13">
      <x:c r="A13" s="10">
        <x:f t="shared" si="2"/>
        <x:v>46238</x:v>
      </x:c>
      <x:c r="B13" s="11" t="str">
        <x:f t="shared" si="0"/>
        <x:v>Tue</x:v>
      </x:c>
      <x:c r="C13" s="35">
        <x:v>0.333333333333333</x:v>
      </x:c>
      <x:c r="D13" s="35">
        <x:v>0.833333333333333</x:v>
      </x:c>
      <x:c r="E13" s="35">
        <x:v>0.0833333333333333</x:v>
      </x:c>
      <x:c r="F13" s="36">
        <x:f t="shared" si="1"/>
        <x:v>0.416666666666667</x:v>
      </x:c>
      <x:c r="G13" s="37">
        <x:f t="shared" si="3"/>
        <x:v>0.416666666666667</x:v>
      </x:c>
      <x:c r="H13" s="11" t="s">
        <x:v>28</x:v>
      </x:c>
      <x:c r="I13" s="11" t="s">
        <x:v>29</x:v>
      </x:c>
      <x:c r="J13" s="12"/>
      <x:c r="K13" s="11"/>
    </x:row>
    <x:row r="14">
      <x:c r="A14" s="10">
        <x:f t="shared" si="2"/>
        <x:v>46239</x:v>
      </x:c>
      <x:c r="B14" s="11" t="str">
        <x:f t="shared" si="0"/>
        <x:v>Wed</x:v>
      </x:c>
      <x:c r="C14" s="35">
        <x:v>0.333333333333333</x:v>
      </x:c>
      <x:c r="D14" s="35">
        <x:v>0.875</x:v>
      </x:c>
      <x:c r="E14" s="35">
        <x:v>0.0833333333333333</x:v>
      </x:c>
      <x:c r="F14" s="36">
        <x:f t="shared" si="1"/>
        <x:v>0.458333333333333</x:v>
      </x:c>
      <x:c r="G14" s="37">
        <x:f t="shared" si="3"/>
        <x:v>0.458333333333333</x:v>
      </x:c>
      <x:c r="H14" s="11" t="s">
        <x:v>28</x:v>
      </x:c>
      <x:c r="I14" s="11" t="s">
        <x:v>29</x:v>
      </x:c>
      <x:c r="J14" s="12"/>
      <x:c r="K14" s="11"/>
    </x:row>
    <x:row r="15" s="31" customFormat="1">
      <x:c r="A15" s="33">
        <x:f t="shared" si="2"/>
        <x:v>46240</x:v>
      </x:c>
      <x:c r="B15" s="34" t="str">
        <x:f t="shared" si="0"/>
        <x:v>Thu</x:v>
      </x:c>
      <x:c r="C15" s="35">
        <x:v>0.333333333333333</x:v>
      </x:c>
      <x:c r="D15" s="35">
        <x:v>0.833333333333333</x:v>
      </x:c>
      <x:c r="E15" s="35">
        <x:v>0.0833333333333333</x:v>
      </x:c>
      <x:c r="F15" s="36" t="n">
        <x:f t="shared" ref="F15:F16" si="4">D15-C15-E15</x:f>
        <x:v>0.4166666666666667</x:v>
      </x:c>
      <x:c r="G15" s="37">
        <x:f t="shared" si="3"/>
        <x:v>0.416666666666667</x:v>
      </x:c>
      <x:c r="H15" s="34" t="s">
        <x:v>20</x:v>
      </x:c>
      <x:c r="I15" s="34" t="s">
        <x:v>21</x:v>
      </x:c>
      <x:c r="J15" s="35"/>
      <x:c r="K15" s="42"/>
    </x:row>
    <x:row r="16" s="31" customFormat="1">
      <x:c r="A16" s="33">
        <x:f t="shared" si="2"/>
        <x:v>46241</x:v>
      </x:c>
      <x:c r="B16" s="34" t="str">
        <x:f t="shared" si="0"/>
        <x:v>Fri</x:v>
      </x:c>
      <x:c r="C16" s="35">
        <x:v>0.333333333333333</x:v>
      </x:c>
      <x:c r="D16" s="35">
        <x:v>0.708333333333333</x:v>
      </x:c>
      <x:c r="E16" s="35">
        <x:v>0.0416666666666667</x:v>
      </x:c>
      <x:c r="F16" s="36">
        <x:f t="shared" si="4"/>
        <x:v>0.333333333333333</x:v>
      </x:c>
      <x:c r="G16" s="37">
        <x:f t="shared" si="3"/>
        <x:v>0.333333333333333</x:v>
      </x:c>
      <x:c r="H16" s="34" t="s">
        <x:v>20</x:v>
      </x:c>
      <x:c r="I16" s="34" t="s">
        <x:v>22</x:v>
      </x:c>
      <x:c r="J16" s="35"/>
      <x:c r="K16" s="44"/>
    </x:row>
    <x:row r="17" s="31" customFormat="1">
      <x:c r="A17" s="38">
        <x:f t="shared" si="2"/>
        <x:v>46242</x:v>
      </x:c>
      <x:c r="B17" s="39" t="str">
        <x:f t="shared" si="0"/>
        <x:v>Sat</x:v>
      </x:c>
      <x:c r="C17" s="40"/>
      <x:c r="D17" s="40"/>
      <x:c r="E17" s="40"/>
      <x:c r="F17" s="40"/>
      <x:c r="G17" s="41"/>
      <x:c r="H17" s="39"/>
      <x:c r="I17" s="39"/>
      <x:c r="J17" s="39"/>
      <x:c r="K17" s="45"/>
    </x:row>
    <x:row r="18" s="31" customFormat="1">
      <x:c r="A18" s="38">
        <x:f t="shared" si="2"/>
        <x:v>46243</x:v>
      </x:c>
      <x:c r="B18" s="39" t="str">
        <x:f t="shared" si="0"/>
        <x:v>Sun</x:v>
      </x:c>
      <x:c r="C18" s="40"/>
      <x:c r="D18" s="40"/>
      <x:c r="E18" s="40"/>
      <x:c r="F18" s="40"/>
      <x:c r="G18" s="41"/>
      <x:c r="H18" s="39"/>
      <x:c r="I18" s="39"/>
      <x:c r="J18" s="40"/>
      <x:c r="K18" s="43"/>
    </x:row>
    <x:row r="19" s="31" customFormat="1">
      <x:c r="A19" s="33">
        <x:f t="shared" si="2"/>
        <x:v>46244</x:v>
      </x:c>
      <x:c r="B19" s="34" t="str">
        <x:f t="shared" si="0"/>
        <x:v>Mon</x:v>
      </x:c>
      <x:c r="C19" s="35">
        <x:v>0.333333333333333</x:v>
      </x:c>
      <x:c r="D19" s="35">
        <x:v>0.708333333333333</x:v>
      </x:c>
      <x:c r="E19" s="35">
        <x:v>0.0416666666666667</x:v>
      </x:c>
      <x:c r="F19" s="36" t="n">
        <x:f t="shared" ref="F19:F21" si="5">D19-C19-E19</x:f>
        <x:v>0.33333333333333337</x:v>
      </x:c>
      <x:c r="G19" s="37">
        <x:f t="shared" si="3"/>
        <x:v>0.333333333333333</x:v>
      </x:c>
      <x:c r="H19" s="34" t="s">
        <x:v>36</x:v>
      </x:c>
      <x:c r="I19" s="34" t="s">
        <x:v>37</x:v>
      </x:c>
      <x:c r="J19" s="35"/>
      <x:c r="K19" s="42"/>
    </x:row>
    <x:row r="20" s="31" customFormat="1">
      <x:c r="A20" s="10">
        <x:f t="shared" si="2"/>
        <x:v>46245</x:v>
      </x:c>
      <x:c r="B20" s="11" t="str">
        <x:f t="shared" si="0"/>
        <x:v>Tue</x:v>
      </x:c>
      <x:c r="C20" s="35">
        <x:v>0.333333333333333</x:v>
      </x:c>
      <x:c r="D20" s="35">
        <x:v>0.708333333333333</x:v>
      </x:c>
      <x:c r="E20" s="35">
        <x:v>0.0416666666666667</x:v>
      </x:c>
      <x:c r="F20" s="36">
        <x:f t="shared" si="5"/>
        <x:v>0.333333333333333</x:v>
      </x:c>
      <x:c r="G20" s="37">
        <x:f t="shared" si="3"/>
        <x:v>0.333333333333333</x:v>
      </x:c>
      <x:c r="H20" s="11" t="s">
        <x:v>36</x:v>
      </x:c>
      <x:c r="I20" s="34" t="s">
        <x:v>37</x:v>
      </x:c>
      <x:c r="J20" s="12"/>
      <x:c r="K20" s="11"/>
    </x:row>
    <x:row r="21" s="31" customFormat="1">
      <x:c r="A21" s="10">
        <x:f t="shared" si="2"/>
        <x:v>46246</x:v>
      </x:c>
      <x:c r="B21" s="11" t="str">
        <x:f t="shared" si="0"/>
        <x:v>Wed</x:v>
      </x:c>
      <x:c r="C21" s="35">
        <x:v>0.333333333333333</x:v>
      </x:c>
      <x:c r="D21" s="35">
        <x:v>0.708333333333333</x:v>
      </x:c>
      <x:c r="E21" s="35">
        <x:v>0.0416666666666667</x:v>
      </x:c>
      <x:c r="F21" s="36">
        <x:f t="shared" si="5"/>
        <x:v>0.333333333333333</x:v>
      </x:c>
      <x:c r="G21" s="37">
        <x:f t="shared" si="3"/>
        <x:v>0.333333333333333</x:v>
      </x:c>
      <x:c r="H21" s="11" t="s">
        <x:v>36</x:v>
      </x:c>
      <x:c r="I21" s="34" t="s">
        <x:v>37</x:v>
      </x:c>
      <x:c r="J21" s="12"/>
      <x:c r="K21" s="11"/>
    </x:row>
    <x:row r="22" s="31" customFormat="1">
      <x:c r="A22" s="38">
        <x:f t="shared" si="2"/>
        <x:v>46247</x:v>
      </x:c>
      <x:c r="B22" s="39" t="str">
        <x:f t="shared" si="0"/>
        <x:v>Thu</x:v>
      </x:c>
      <x:c r="C22" s="40"/>
      <x:c r="D22" s="40"/>
      <x:c r="E22" s="40"/>
      <x:c r="F22" s="40"/>
      <x:c r="G22" s="41"/>
      <x:c r="H22" s="39"/>
      <x:c r="I22" s="39"/>
      <x:c r="J22" s="40"/>
      <x:c r="K22" s="43"/>
    </x:row>
    <x:row r="23" s="31" customFormat="1">
      <x:c r="A23" s="38">
        <x:f t="shared" si="2"/>
        <x:v>46248</x:v>
      </x:c>
      <x:c r="B23" s="39" t="str">
        <x:f t="shared" si="0"/>
        <x:v>Fri</x:v>
      </x:c>
      <x:c r="C23" s="40"/>
      <x:c r="D23" s="40"/>
      <x:c r="E23" s="40"/>
      <x:c r="F23" s="40"/>
      <x:c r="G23" s="41"/>
      <x:c r="H23" s="39"/>
      <x:c r="I23" s="39"/>
      <x:c r="J23" s="40"/>
      <x:c r="K23" s="43"/>
    </x:row>
    <x:row r="24" s="31" customFormat="1">
      <x:c r="A24" s="38">
        <x:f t="shared" si="2"/>
        <x:v>46249</x:v>
      </x:c>
      <x:c r="B24" s="39" t="str">
        <x:f t="shared" si="0"/>
        <x:v>Sat</x:v>
      </x:c>
      <x:c r="C24" s="40"/>
      <x:c r="D24" s="40"/>
      <x:c r="E24" s="40"/>
      <x:c r="F24" s="40"/>
      <x:c r="G24" s="41"/>
      <x:c r="H24" s="39"/>
      <x:c r="I24" s="39"/>
      <x:c r="J24" s="40"/>
      <x:c r="K24" s="43"/>
    </x:row>
    <x:row r="25" s="31" customFormat="1">
      <x:c r="A25" s="38">
        <x:f t="shared" si="2"/>
        <x:v>46250</x:v>
      </x:c>
      <x:c r="B25" s="39" t="str">
        <x:f t="shared" si="0"/>
        <x:v>Sun</x:v>
      </x:c>
      <x:c r="C25" s="40"/>
      <x:c r="D25" s="40"/>
      <x:c r="E25" s="40"/>
      <x:c r="F25" s="40"/>
      <x:c r="G25" s="41"/>
      <x:c r="H25" s="39"/>
      <x:c r="I25" s="39"/>
      <x:c r="J25" s="40"/>
      <x:c r="K25" s="43"/>
    </x:row>
    <x:row r="26" s="31" customFormat="1">
      <x:c r="A26" s="33">
        <x:f t="shared" si="2"/>
        <x:v>46251</x:v>
      </x:c>
      <x:c r="B26" s="34" t="str">
        <x:f t="shared" si="0"/>
        <x:v>Mon</x:v>
      </x:c>
      <x:c r="C26" s="35">
        <x:v>0.333333333333333</x:v>
      </x:c>
      <x:c r="D26" s="35">
        <x:v>0.708333333333333</x:v>
      </x:c>
      <x:c r="E26" s="35">
        <x:v>0.0416666666666667</x:v>
      </x:c>
      <x:c r="F26" s="36" t="n">
        <x:f t="shared" ref="F26:F28" si="6">D26-C26-E26</x:f>
        <x:v>0.33333333333333337</x:v>
      </x:c>
      <x:c r="G26" s="37">
        <x:f t="shared" si="3"/>
        <x:v>0.333333333333333</x:v>
      </x:c>
      <x:c r="H26" s="34" t="s">
        <x:v>28</x:v>
      </x:c>
      <x:c r="I26" s="11" t="s">
        <x:v>29</x:v>
      </x:c>
      <x:c r="J26" s="35"/>
      <x:c r="K26" s="42"/>
    </x:row>
    <x:row r="27" s="31" customFormat="1">
      <x:c r="A27" s="10">
        <x:f t="shared" si="2"/>
        <x:v>46252</x:v>
      </x:c>
      <x:c r="B27" s="11" t="str">
        <x:f t="shared" si="0"/>
        <x:v>Tue</x:v>
      </x:c>
      <x:c r="C27" s="35">
        <x:v>0.333333333333333</x:v>
      </x:c>
      <x:c r="D27" s="35">
        <x:v>0.708333333333333</x:v>
      </x:c>
      <x:c r="E27" s="35">
        <x:v>0.0416666666666667</x:v>
      </x:c>
      <x:c r="F27" s="36">
        <x:f t="shared" si="6"/>
        <x:v>0.333333333333333</x:v>
      </x:c>
      <x:c r="G27" s="37">
        <x:f t="shared" si="3"/>
        <x:v>0.333333333333333</x:v>
      </x:c>
      <x:c r="H27" s="34" t="s">
        <x:v>28</x:v>
      </x:c>
      <x:c r="I27" s="11" t="s">
        <x:v>29</x:v>
      </x:c>
      <x:c r="J27" s="12"/>
      <x:c r="K27" s="11"/>
    </x:row>
    <x:row r="28" s="31" customFormat="1">
      <x:c r="A28" s="10">
        <x:f t="shared" si="2"/>
        <x:v>46253</x:v>
      </x:c>
      <x:c r="B28" s="11" t="str">
        <x:f t="shared" si="0"/>
        <x:v>Wed</x:v>
      </x:c>
      <x:c r="C28" s="35">
        <x:v>0.333333333333333</x:v>
      </x:c>
      <x:c r="D28" s="35">
        <x:v>0.791666666666667</x:v>
      </x:c>
      <x:c r="E28" s="35">
        <x:v>0.0833333333333333</x:v>
      </x:c>
      <x:c r="F28" s="36">
        <x:f t="shared" si="6"/>
        <x:v>0.375</x:v>
      </x:c>
      <x:c r="G28" s="37">
        <x:f t="shared" si="3"/>
        <x:v>0.375</x:v>
      </x:c>
      <x:c r="H28" s="34" t="s">
        <x:v>28</x:v>
      </x:c>
      <x:c r="I28" s="11" t="s">
        <x:v>29</x:v>
      </x:c>
      <x:c r="J28" s="12"/>
      <x:c r="K28" s="11"/>
    </x:row>
    <x:row r="29" s="31" customFormat="1">
      <x:c r="A29" s="33">
        <x:f t="shared" si="2"/>
        <x:v>46254</x:v>
      </x:c>
      <x:c r="B29" s="34" t="str">
        <x:f t="shared" si="0"/>
        <x:v>Thu</x:v>
      </x:c>
      <x:c r="C29" s="35">
        <x:v>0.333333333333333</x:v>
      </x:c>
      <x:c r="D29" s="35">
        <x:v>0.791666666666667</x:v>
      </x:c>
      <x:c r="E29" s="35">
        <x:v>0.0833333333333333</x:v>
      </x:c>
      <x:c r="F29" s="36" t="n">
        <x:f t="shared" ref="F29:F30" si="7">D29-C29-E29</x:f>
        <x:v>0.37500000000000067</x:v>
      </x:c>
      <x:c r="G29" s="37" t="n">
        <x:f t="shared" ref="G29:G30" si="8">D29-C29-E29</x:f>
        <x:v>0.37500000000000067</x:v>
      </x:c>
      <x:c r="H29" s="34" t="s">
        <x:v>28</x:v>
      </x:c>
      <x:c r="I29" s="11" t="s">
        <x:v>29</x:v>
      </x:c>
      <x:c r="J29" s="12"/>
      <x:c r="K29" s="11"/>
    </x:row>
    <x:row r="30" s="31" customFormat="1">
      <x:c r="A30" s="33">
        <x:f t="shared" si="2"/>
        <x:v>46255</x:v>
      </x:c>
      <x:c r="B30" s="34" t="str">
        <x:f t="shared" si="0"/>
        <x:v>Fri</x:v>
      </x:c>
      <x:c r="C30" s="35">
        <x:v>0.333333333333333</x:v>
      </x:c>
      <x:c r="D30" s="35">
        <x:v>0.791666666666667</x:v>
      </x:c>
      <x:c r="E30" s="35">
        <x:v>0.0833333333333333</x:v>
      </x:c>
      <x:c r="F30" s="36">
        <x:f t="shared" si="7"/>
        <x:v>0.375</x:v>
      </x:c>
      <x:c r="G30" s="37">
        <x:f t="shared" si="8"/>
        <x:v>0.375</x:v>
      </x:c>
      <x:c r="H30" s="34" t="s">
        <x:v>28</x:v>
      </x:c>
      <x:c r="I30" s="11" t="s">
        <x:v>29</x:v>
      </x:c>
      <x:c r="J30" s="12"/>
      <x:c r="K30" s="11"/>
    </x:row>
    <x:row r="31" s="31" customFormat="1">
      <x:c r="A31" s="38">
        <x:f t="shared" si="2"/>
        <x:v>46256</x:v>
      </x:c>
      <x:c r="B31" s="39" t="str">
        <x:f t="shared" si="0"/>
        <x:v>Sat</x:v>
      </x:c>
      <x:c r="C31" s="40"/>
      <x:c r="D31" s="40"/>
      <x:c r="E31" s="40"/>
      <x:c r="F31" s="40"/>
      <x:c r="G31" s="41"/>
      <x:c r="H31" s="39"/>
      <x:c r="I31" s="39"/>
      <x:c r="J31" s="40"/>
      <x:c r="K31" s="43"/>
    </x:row>
    <x:row r="32" s="31" customFormat="1">
      <x:c r="A32" s="38">
        <x:f t="shared" si="2"/>
        <x:v>46257</x:v>
      </x:c>
      <x:c r="B32" s="39" t="str">
        <x:f t="shared" si="0"/>
        <x:v>Sun</x:v>
      </x:c>
      <x:c r="C32" s="40"/>
      <x:c r="D32" s="40"/>
      <x:c r="E32" s="40"/>
      <x:c r="F32" s="40"/>
      <x:c r="G32" s="41"/>
      <x:c r="H32" s="39"/>
      <x:c r="I32" s="39"/>
      <x:c r="J32" s="40"/>
      <x:c r="K32" s="43"/>
    </x:row>
    <x:row r="33" s="31" customFormat="1">
      <x:c r="A33" s="33">
        <x:f t="shared" si="2"/>
        <x:v>46258</x:v>
      </x:c>
      <x:c r="B33" s="34" t="str">
        <x:f t="shared" si="0"/>
        <x:v>Mon</x:v>
      </x:c>
      <x:c r="C33" s="35">
        <x:v>0.333333333333333</x:v>
      </x:c>
      <x:c r="D33" s="35">
        <x:v>0.791666666666667</x:v>
      </x:c>
      <x:c r="E33" s="35">
        <x:v>0.0833333333333333</x:v>
      </x:c>
      <x:c r="F33" s="36" t="n">
        <x:f t="shared" ref="F33:F37" si="9">D33-C33-E33</x:f>
        <x:v>0.37500000000000067</x:v>
      </x:c>
      <x:c r="G33" s="37">
        <x:f t="shared" si="3"/>
        <x:v>0.375</x:v>
      </x:c>
      <x:c r="H33" s="31" t="s">
        <x:v>36</x:v>
      </x:c>
      <x:c r="I33" s="34" t="s">
        <x:v>37</x:v>
      </x:c>
      <x:c r="J33" s="35"/>
      <x:c r="K33" s="42"/>
    </x:row>
    <x:row r="34" s="31" customFormat="1">
      <x:c r="A34" s="10">
        <x:f t="shared" si="2"/>
        <x:v>46259</x:v>
      </x:c>
      <x:c r="B34" s="11" t="str">
        <x:f t="shared" si="0"/>
        <x:v>Tue</x:v>
      </x:c>
      <x:c r="C34" s="35">
        <x:v>0.333333333333333</x:v>
      </x:c>
      <x:c r="D34" s="35">
        <x:v>0.708333333333333</x:v>
      </x:c>
      <x:c r="E34" s="35">
        <x:v>0.0416666666666667</x:v>
      </x:c>
      <x:c r="F34" s="36">
        <x:f t="shared" si="9"/>
        <x:v>0.333333333333333</x:v>
      </x:c>
      <x:c r="G34" s="37">
        <x:f t="shared" si="3"/>
        <x:v>0.333333333333333</x:v>
      </x:c>
      <x:c r="H34" s="11" t="s">
        <x:v>36</x:v>
      </x:c>
      <x:c r="I34" s="34" t="s">
        <x:v>37</x:v>
      </x:c>
      <x:c r="J34" s="12"/>
      <x:c r="K34" s="11"/>
    </x:row>
    <x:row r="35" s="31" customFormat="1">
      <x:c r="A35" s="10">
        <x:f t="shared" si="2"/>
        <x:v>46260</x:v>
      </x:c>
      <x:c r="B35" s="11" t="str">
        <x:f t="shared" si="0"/>
        <x:v>Wed</x:v>
      </x:c>
      <x:c r="C35" s="35">
        <x:v>0.333333333333333</x:v>
      </x:c>
      <x:c r="D35" s="35">
        <x:v>0.833333333333333</x:v>
      </x:c>
      <x:c r="E35" s="35">
        <x:v>0.0833333333333333</x:v>
      </x:c>
      <x:c r="F35" s="36">
        <x:f t="shared" si="9"/>
        <x:v>0.416666666666667</x:v>
      </x:c>
      <x:c r="G35" s="37">
        <x:f t="shared" si="3"/>
        <x:v>0.416666666666667</x:v>
      </x:c>
      <x:c r="H35" s="12" t="s">
        <x:v>36</x:v>
      </x:c>
      <x:c r="I35" s="11" t="s">
        <x:v>37</x:v>
      </x:c>
      <x:c r="J35" s="12"/>
      <x:c r="K35" s="11"/>
    </x:row>
    <x:row r="36" s="31" customFormat="1">
      <x:c r="A36" s="33">
        <x:f t="shared" si="2"/>
        <x:v>46261</x:v>
      </x:c>
      <x:c r="B36" s="34" t="str">
        <x:f t="shared" si="0"/>
        <x:v>Thu</x:v>
      </x:c>
      <x:c r="C36" s="35">
        <x:v>0.333333333333333</x:v>
      </x:c>
      <x:c r="D36" s="35">
        <x:v>0.875</x:v>
      </x:c>
      <x:c r="E36" s="35">
        <x:v>0.0833333333333333</x:v>
      </x:c>
      <x:c r="F36" s="36">
        <x:f t="shared" si="9"/>
        <x:v>0.458333333333333</x:v>
      </x:c>
      <x:c r="G36" s="37">
        <x:f t="shared" si="3"/>
        <x:v>0.458333333333333</x:v>
      </x:c>
      <x:c r="H36" s="34" t="s">
        <x:v>28</x:v>
      </x:c>
      <x:c r="I36" s="11" t="s">
        <x:v>29</x:v>
      </x:c>
      <x:c r="J36" s="35"/>
      <x:c r="K36" s="42"/>
    </x:row>
    <x:row r="37" s="31" customFormat="1">
      <x:c r="A37" s="33">
        <x:f t="shared" si="2"/>
        <x:v>46262</x:v>
      </x:c>
      <x:c r="B37" s="34" t="str">
        <x:f t="shared" si="0"/>
        <x:v>Fri</x:v>
      </x:c>
      <x:c r="C37" s="35">
        <x:v>0.333333333333333</x:v>
      </x:c>
      <x:c r="D37" s="35">
        <x:v>0.875</x:v>
      </x:c>
      <x:c r="E37" s="35">
        <x:v>0.0833333333333333</x:v>
      </x:c>
      <x:c r="F37" s="36">
        <x:f t="shared" si="9"/>
        <x:v>0.458333333333333</x:v>
      </x:c>
      <x:c r="G37" s="37">
        <x:f t="shared" si="3"/>
        <x:v>0.458333333333333</x:v>
      </x:c>
      <x:c r="H37" s="34" t="s">
        <x:v>28</x:v>
      </x:c>
      <x:c r="I37" s="11" t="s">
        <x:v>29</x:v>
      </x:c>
      <x:c r="J37" s="35"/>
      <x:c r="K37" s="42"/>
    </x:row>
    <x:row r="38" s="31" customFormat="1">
      <x:c r="A38" s="38">
        <x:f t="shared" si="2"/>
        <x:v>46263</x:v>
      </x:c>
      <x:c r="B38" s="39" t="str">
        <x:f t="shared" si="0"/>
        <x:v>Sat</x:v>
      </x:c>
      <x:c r="C38" s="40"/>
      <x:c r="D38" s="40"/>
      <x:c r="E38" s="40"/>
      <x:c r="F38" s="40"/>
      <x:c r="G38" s="41"/>
      <x:c r="H38" s="39"/>
      <x:c r="I38" s="39"/>
      <x:c r="J38" s="40"/>
      <x:c r="K38" s="43"/>
    </x:row>
    <x:row r="39" s="31" customFormat="1">
      <x:c r="A39" s="38">
        <x:f t="shared" si="2"/>
        <x:v>46264</x:v>
      </x:c>
      <x:c r="B39" s="39" t="str">
        <x:f t="shared" si="0"/>
        <x:v>Sun</x:v>
      </x:c>
      <x:c r="C39" s="40"/>
      <x:c r="D39" s="40"/>
      <x:c r="E39" s="40"/>
      <x:c r="F39" s="40"/>
      <x:c r="G39" s="41"/>
      <x:c r="H39" s="39"/>
      <x:c r="I39" s="39"/>
      <x:c r="J39" s="40"/>
      <x:c r="K39" s="43"/>
    </x:row>
    <x:row r="40">
      <x:c r="A40" s="38">
        <x:f t="shared" si="2"/>
        <x:v>46265</x:v>
      </x:c>
      <x:c r="B40" s="39" t="str">
        <x:f t="shared" si="0"/>
        <x:v>Mon</x:v>
      </x:c>
      <x:c r="C40" s="40"/>
      <x:c r="D40" s="40"/>
      <x:c r="E40" s="40"/>
      <x:c r="F40" s="40"/>
      <x:c r="G40" s="41"/>
      <x:c r="H40" s="39"/>
      <x:c r="I40" s="39"/>
      <x:c r="J40" s="40"/>
      <x:c r="K40" s="43"/>
    </x:row>
  </x:sheetData>
  <x:conditionalFormatting sqref="D10:E10">
    <x:cfRule type="timePeriod" dxfId="1" priority="431" timePeriod="lastMonth">
      <x:formula>AND(MONTH(D10)=MONTH(EDATE(TODAY(),0-1)),YEAR(D10)=YEAR(EDATE(TODAY(),0-1)))</x:formula>
    </x:cfRule>
    <x:cfRule type="expression" dxfId="0" priority="432">
      <x:formula>$B10="土"</x:formula>
    </x:cfRule>
    <x:cfRule type="expression" dxfId="0" priority="433">
      <x:formula>$B10="日"</x:formula>
    </x:cfRule>
  </x:conditionalFormatting>
  <x:conditionalFormatting sqref="H10:H10">
    <x:cfRule type="expression" dxfId="0" priority="268">
      <x:formula>$B10="土"</x:formula>
    </x:cfRule>
    <x:cfRule type="expression" dxfId="0" priority="269">
      <x:formula>$B10="日"</x:formula>
    </x:cfRule>
    <x:cfRule type="timePeriod" dxfId="1" priority="270" timePeriod="lastMonth">
      <x:formula>AND(MONTH(H10)=MONTH(EDATE(TODAY(),0-1)),YEAR(H10)=YEAR(EDATE(TODAY(),0-1)))</x:formula>
    </x:cfRule>
  </x:conditionalFormatting>
  <x:conditionalFormatting sqref="I10:I10">
    <x:cfRule type="expression" dxfId="0" priority="271">
      <x:formula>$B10="土"</x:formula>
    </x:cfRule>
    <x:cfRule type="expression" dxfId="0" priority="272">
      <x:formula>$B10="日"</x:formula>
    </x:cfRule>
    <x:cfRule type="timePeriod" dxfId="1" priority="273" timePeriod="lastMonth">
      <x:formula>AND(MONTH(I10)=MONTH(EDATE(TODAY(),0-1)),YEAR(I10)=YEAR(EDATE(TODAY(),0-1)))</x:formula>
    </x:cfRule>
  </x:conditionalFormatting>
  <x:conditionalFormatting sqref="J10:J10">
    <x:cfRule type="timePeriod" dxfId="1" priority="430" timePeriod="lastMonth">
      <x:formula>AND(MONTH(J10)=MONTH(EDATE(TODAY(),0-1)),YEAR(J10)=YEAR(EDATE(TODAY(),0-1)))</x:formula>
    </x:cfRule>
  </x:conditionalFormatting>
  <x:conditionalFormatting sqref="K10:K10">
    <x:cfRule type="timePeriod" dxfId="1" priority="423" timePeriod="lastMonth">
      <x:formula>AND(MONTH(K10)=MONTH(EDATE(TODAY(),0-1)),YEAR(K10)=YEAR(EDATE(TODAY(),0-1)))</x:formula>
    </x:cfRule>
    <x:cfRule type="expression" dxfId="3" priority="424">
      <x:formula>WEEKDAY(K$10)=L$4</x:formula>
    </x:cfRule>
  </x:conditionalFormatting>
  <x:conditionalFormatting sqref="D11:D11">
    <x:cfRule type="timePeriod" dxfId="1" priority="259" timePeriod="lastMonth">
      <x:formula>AND(MONTH(D11)=MONTH(EDATE(TODAY(),0-1)),YEAR(D11)=YEAR(EDATE(TODAY(),0-1)))</x:formula>
    </x:cfRule>
    <x:cfRule type="expression" dxfId="0" priority="260">
      <x:formula>$B11="土"</x:formula>
    </x:cfRule>
    <x:cfRule type="expression" dxfId="0" priority="261">
      <x:formula>$B11="日"</x:formula>
    </x:cfRule>
  </x:conditionalFormatting>
  <x:conditionalFormatting sqref="E11:E11">
    <x:cfRule type="timePeriod" dxfId="1" priority="256" timePeriod="lastMonth">
      <x:formula>AND(MONTH(E11)=MONTH(EDATE(TODAY(),0-1)),YEAR(E11)=YEAR(EDATE(TODAY(),0-1)))</x:formula>
    </x:cfRule>
    <x:cfRule type="expression" dxfId="0" priority="257">
      <x:formula>$B11="土"</x:formula>
    </x:cfRule>
    <x:cfRule type="expression" dxfId="0" priority="258">
      <x:formula>$B11="日"</x:formula>
    </x:cfRule>
  </x:conditionalFormatting>
  <x:conditionalFormatting sqref="H11:H11">
    <x:cfRule type="expression" dxfId="0" priority="286">
      <x:formula>$B11="土"</x:formula>
    </x:cfRule>
    <x:cfRule type="expression" dxfId="0" priority="287">
      <x:formula>$B11="日"</x:formula>
    </x:cfRule>
    <x:cfRule type="timePeriod" dxfId="1" priority="288" timePeriod="lastMonth">
      <x:formula>AND(MONTH(H11)=MONTH(EDATE(TODAY(),0-1)),YEAR(H11)=YEAR(EDATE(TODAY(),0-1)))</x:formula>
    </x:cfRule>
  </x:conditionalFormatting>
  <x:conditionalFormatting sqref="I11:I11">
    <x:cfRule type="expression" dxfId="0" priority="414">
      <x:formula>$B11="土"</x:formula>
    </x:cfRule>
    <x:cfRule type="expression" dxfId="0" priority="415">
      <x:formula>$B11="日"</x:formula>
    </x:cfRule>
    <x:cfRule type="timePeriod" dxfId="1" priority="416" timePeriod="lastMonth">
      <x:formula>AND(MONTH(I11)=MONTH(EDATE(TODAY(),0-1)),YEAR(I11)=YEAR(EDATE(TODAY(),0-1)))</x:formula>
    </x:cfRule>
  </x:conditionalFormatting>
  <x:conditionalFormatting sqref="J11:J11">
    <x:cfRule type="timePeriod" dxfId="1" priority="547" timePeriod="lastMonth">
      <x:formula>AND(MONTH(J11)=MONTH(EDATE(TODAY(),0-1)),YEAR(J11)=YEAR(EDATE(TODAY(),0-1)))</x:formula>
    </x:cfRule>
  </x:conditionalFormatting>
  <x:conditionalFormatting sqref="C12:C12">
    <x:cfRule type="expression" dxfId="0" priority="496">
      <x:formula>$B12="土"</x:formula>
    </x:cfRule>
    <x:cfRule type="expression" dxfId="0" priority="497">
      <x:formula>$B12="日"</x:formula>
    </x:cfRule>
  </x:conditionalFormatting>
  <x:conditionalFormatting sqref="D12:E12">
    <x:cfRule type="timePeriod" dxfId="1" priority="551" timePeriod="lastMonth">
      <x:formula>AND(MONTH(D12)=MONTH(EDATE(TODAY(),0-1)),YEAR(D12)=YEAR(EDATE(TODAY(),0-1)))</x:formula>
    </x:cfRule>
    <x:cfRule type="expression" dxfId="0" priority="552">
      <x:formula>$B12="土"</x:formula>
    </x:cfRule>
    <x:cfRule type="expression" dxfId="0" priority="553">
      <x:formula>$B12="日"</x:formula>
    </x:cfRule>
  </x:conditionalFormatting>
  <x:conditionalFormatting sqref="H12:H12">
    <x:cfRule type="expression" dxfId="0" priority="262">
      <x:formula>$B12="土"</x:formula>
    </x:cfRule>
    <x:cfRule type="expression" dxfId="0" priority="263">
      <x:formula>$B12="日"</x:formula>
    </x:cfRule>
    <x:cfRule type="timePeriod" dxfId="1" priority="264" timePeriod="lastMonth">
      <x:formula>AND(MONTH(H12)=MONTH(EDATE(TODAY(),0-1)),YEAR(H12)=YEAR(EDATE(TODAY(),0-1)))</x:formula>
    </x:cfRule>
  </x:conditionalFormatting>
  <x:conditionalFormatting sqref="H13:H13">
    <x:cfRule type="expression" dxfId="0" priority="306">
      <x:formula>$B13="土"</x:formula>
    </x:cfRule>
    <x:cfRule type="expression" dxfId="0" priority="307">
      <x:formula>$B13="日"</x:formula>
    </x:cfRule>
    <x:cfRule type="timePeriod" dxfId="1" priority="308" timePeriod="lastMonth">
      <x:formula>AND(MONTH(H13)=MONTH(EDATE(TODAY(),0-1)),YEAR(H13)=YEAR(EDATE(TODAY(),0-1)))</x:formula>
    </x:cfRule>
  </x:conditionalFormatting>
  <x:conditionalFormatting sqref="C15:C15">
    <x:cfRule type="expression" dxfId="0" priority="248">
      <x:formula>$B15="土"</x:formula>
    </x:cfRule>
    <x:cfRule type="expression" dxfId="0" priority="249">
      <x:formula>$B15="日"</x:formula>
    </x:cfRule>
  </x:conditionalFormatting>
  <x:conditionalFormatting sqref="D15:E15">
    <x:cfRule type="timePeriod" dxfId="1" priority="250" timePeriod="lastMonth">
      <x:formula>AND(MONTH(D15)=MONTH(EDATE(TODAY(),0-1)),YEAR(D15)=YEAR(EDATE(TODAY(),0-1)))</x:formula>
    </x:cfRule>
    <x:cfRule type="expression" dxfId="0" priority="251">
      <x:formula>$B15="土"</x:formula>
    </x:cfRule>
    <x:cfRule type="expression" dxfId="0" priority="252">
      <x:formula>$B15="日"</x:formula>
    </x:cfRule>
  </x:conditionalFormatting>
  <x:conditionalFormatting sqref="F15:F15">
    <x:cfRule type="timePeriod" dxfId="1" priority="242" timePeriod="lastMonth">
      <x:formula>AND(MONTH(F15)=MONTH(EDATE(TODAY(),0-1)),YEAR(F15)=YEAR(EDATE(TODAY(),0-1)))</x:formula>
    </x:cfRule>
    <x:cfRule type="expression" dxfId="0" priority="243">
      <x:formula>$B15="土"</x:formula>
    </x:cfRule>
    <x:cfRule type="expression" dxfId="0" priority="244">
      <x:formula>$B15="日"</x:formula>
    </x:cfRule>
  </x:conditionalFormatting>
  <x:conditionalFormatting sqref="H15:H15">
    <x:cfRule type="expression" dxfId="0" priority="236">
      <x:formula>$B15="土"</x:formula>
    </x:cfRule>
    <x:cfRule type="expression" dxfId="0" priority="237">
      <x:formula>$B15="日"</x:formula>
    </x:cfRule>
    <x:cfRule type="timePeriod" dxfId="1" priority="238" timePeriod="lastMonth">
      <x:formula>AND(MONTH(H15)=MONTH(EDATE(TODAY(),0-1)),YEAR(H15)=YEAR(EDATE(TODAY(),0-1)))</x:formula>
    </x:cfRule>
  </x:conditionalFormatting>
  <x:conditionalFormatting sqref="I15:I15">
    <x:cfRule type="expression" dxfId="0" priority="239">
      <x:formula>$B15="土"</x:formula>
    </x:cfRule>
    <x:cfRule type="expression" dxfId="0" priority="240">
      <x:formula>$B15="日"</x:formula>
    </x:cfRule>
    <x:cfRule type="timePeriod" dxfId="1" priority="241" timePeriod="lastMonth">
      <x:formula>AND(MONTH(I15)=MONTH(EDATE(TODAY(),0-1)),YEAR(I15)=YEAR(EDATE(TODAY(),0-1)))</x:formula>
    </x:cfRule>
  </x:conditionalFormatting>
  <x:conditionalFormatting sqref="J15:J15">
    <x:cfRule type="expression" dxfId="0" priority="480">
      <x:formula>$B15="土"</x:formula>
    </x:cfRule>
    <x:cfRule type="expression" dxfId="0" priority="481">
      <x:formula>$B15="日"</x:formula>
    </x:cfRule>
    <x:cfRule type="timePeriod" dxfId="1" priority="482" timePeriod="lastMonth">
      <x:formula>AND(MONTH(J15)=MONTH(EDATE(TODAY(),0-1)),YEAR(J15)=YEAR(EDATE(TODAY(),0-1)))</x:formula>
    </x:cfRule>
  </x:conditionalFormatting>
  <x:conditionalFormatting sqref="K15:K15">
    <x:cfRule type="timePeriod" dxfId="1" priority="478" timePeriod="lastMonth">
      <x:formula>AND(MONTH(K15)=MONTH(EDATE(TODAY(),0-1)),YEAR(K15)=YEAR(EDATE(TODAY(),0-1)))</x:formula>
    </x:cfRule>
    <x:cfRule type="expression" dxfId="3" priority="479">
      <x:formula>WEEKDAY(K$10)=L$4</x:formula>
    </x:cfRule>
  </x:conditionalFormatting>
  <x:conditionalFormatting sqref="C16:C16">
    <x:cfRule type="expression" dxfId="0" priority="231">
      <x:formula>$B16="土"</x:formula>
    </x:cfRule>
    <x:cfRule type="expression" dxfId="0" priority="232">
      <x:formula>$B16="日"</x:formula>
    </x:cfRule>
  </x:conditionalFormatting>
  <x:conditionalFormatting sqref="D16:E16">
    <x:cfRule type="timePeriod" dxfId="1" priority="233" timePeriod="lastMonth">
      <x:formula>AND(MONTH(D16)=MONTH(EDATE(TODAY(),0-1)),YEAR(D16)=YEAR(EDATE(TODAY(),0-1)))</x:formula>
    </x:cfRule>
    <x:cfRule type="expression" dxfId="0" priority="234">
      <x:formula>$B16="土"</x:formula>
    </x:cfRule>
    <x:cfRule type="expression" dxfId="0" priority="235">
      <x:formula>$B16="日"</x:formula>
    </x:cfRule>
  </x:conditionalFormatting>
  <x:conditionalFormatting sqref="F16:F16">
    <x:cfRule type="timePeriod" dxfId="1" priority="225" timePeriod="lastMonth">
      <x:formula>AND(MONTH(F16)=MONTH(EDATE(TODAY(),0-1)),YEAR(F16)=YEAR(EDATE(TODAY(),0-1)))</x:formula>
    </x:cfRule>
    <x:cfRule type="expression" dxfId="0" priority="226">
      <x:formula>$B16="土"</x:formula>
    </x:cfRule>
    <x:cfRule type="expression" dxfId="0" priority="227">
      <x:formula>$B16="日"</x:formula>
    </x:cfRule>
  </x:conditionalFormatting>
  <x:conditionalFormatting sqref="H16:H16">
    <x:cfRule type="expression" dxfId="0" priority="219">
      <x:formula>$B16="土"</x:formula>
    </x:cfRule>
    <x:cfRule type="expression" dxfId="0" priority="220">
      <x:formula>$B16="日"</x:formula>
    </x:cfRule>
    <x:cfRule type="timePeriod" dxfId="1" priority="221" timePeriod="lastMonth">
      <x:formula>AND(MONTH(H16)=MONTH(EDATE(TODAY(),0-1)),YEAR(H16)=YEAR(EDATE(TODAY(),0-1)))</x:formula>
    </x:cfRule>
  </x:conditionalFormatting>
  <x:conditionalFormatting sqref="I16:I16">
    <x:cfRule type="expression" dxfId="0" priority="222">
      <x:formula>$B16="土"</x:formula>
    </x:cfRule>
    <x:cfRule type="expression" dxfId="0" priority="223">
      <x:formula>$B16="日"</x:formula>
    </x:cfRule>
    <x:cfRule type="timePeriod" dxfId="1" priority="224" timePeriod="lastMonth">
      <x:formula>AND(MONTH(I16)=MONTH(EDATE(TODAY(),0-1)),YEAR(I16)=YEAR(EDATE(TODAY(),0-1)))</x:formula>
    </x:cfRule>
  </x:conditionalFormatting>
  <x:conditionalFormatting sqref="K16:K16">
    <x:cfRule type="timePeriod" dxfId="1" priority="515" timePeriod="lastMonth">
      <x:formula>AND(MONTH(K16)=MONTH(EDATE(TODAY(),0-1)),YEAR(K16)=YEAR(EDATE(TODAY(),0-1)))</x:formula>
    </x:cfRule>
    <x:cfRule type="expression" dxfId="3" priority="516">
      <x:formula>WEEKDAY(K$10)=L$4</x:formula>
    </x:cfRule>
  </x:conditionalFormatting>
  <x:conditionalFormatting sqref="C17:F17">
    <x:cfRule type="timePeriod" dxfId="1" priority="420" timePeriod="lastMonth">
      <x:formula>AND(MONTH(C17)=MONTH(EDATE(TODAY(),0-1)),YEAR(C17)=YEAR(EDATE(TODAY(),0-1)))</x:formula>
    </x:cfRule>
    <x:cfRule type="expression" dxfId="0" priority="421">
      <x:formula>$B17="土"</x:formula>
    </x:cfRule>
    <x:cfRule type="expression" dxfId="0" priority="422">
      <x:formula>$B17="日"</x:formula>
    </x:cfRule>
  </x:conditionalFormatting>
  <x:conditionalFormatting sqref="H17:H17">
    <x:cfRule type="expression" dxfId="0" priority="283">
      <x:formula>$B17="土"</x:formula>
    </x:cfRule>
    <x:cfRule type="expression" dxfId="0" priority="284">
      <x:formula>$B17="日"</x:formula>
    </x:cfRule>
    <x:cfRule type="timePeriod" dxfId="1" priority="285" timePeriod="lastMonth">
      <x:formula>AND(MONTH(H17)=MONTH(EDATE(TODAY(),0-1)),YEAR(H17)=YEAR(EDATE(TODAY(),0-1)))</x:formula>
    </x:cfRule>
  </x:conditionalFormatting>
  <x:conditionalFormatting sqref="I17:I17">
    <x:cfRule type="expression" dxfId="0" priority="342">
      <x:formula>$B17="土"</x:formula>
    </x:cfRule>
    <x:cfRule type="expression" dxfId="0" priority="343">
      <x:formula>$B17="日"</x:formula>
    </x:cfRule>
    <x:cfRule type="timePeriod" dxfId="1" priority="344" timePeriod="lastMonth">
      <x:formula>AND(MONTH(I17)=MONTH(EDATE(TODAY(),0-1)),YEAR(I17)=YEAR(EDATE(TODAY(),0-1)))</x:formula>
    </x:cfRule>
  </x:conditionalFormatting>
  <x:conditionalFormatting sqref="J17:J17">
    <x:cfRule type="expression" dxfId="0" priority="542">
      <x:formula>$B17="土"</x:formula>
    </x:cfRule>
    <x:cfRule type="expression" dxfId="0" priority="543">
      <x:formula>$B17="日"</x:formula>
    </x:cfRule>
    <x:cfRule type="timePeriod" dxfId="1" priority="544" timePeriod="lastMonth">
      <x:formula>AND(MONTH(J17)=MONTH(EDATE(TODAY(),0-1)),YEAR(J17)=YEAR(EDATE(TODAY(),0-1)))</x:formula>
    </x:cfRule>
  </x:conditionalFormatting>
  <x:conditionalFormatting sqref="K17:K17">
    <x:cfRule type="timePeriod" dxfId="1" priority="538" timePeriod="lastMonth">
      <x:formula>AND(MONTH(K17)=MONTH(EDATE(TODAY(),0-1)),YEAR(K17)=YEAR(EDATE(TODAY(),0-1)))</x:formula>
    </x:cfRule>
    <x:cfRule type="expression" dxfId="3" priority="539">
      <x:formula>WEEKDAY(K$10)=L$4</x:formula>
    </x:cfRule>
  </x:conditionalFormatting>
  <x:conditionalFormatting sqref="C18:C18">
    <x:cfRule type="expression" dxfId="0" priority="214">
      <x:formula>$B18="土"</x:formula>
    </x:cfRule>
    <x:cfRule type="expression" dxfId="0" priority="215">
      <x:formula>$B18="日"</x:formula>
    </x:cfRule>
  </x:conditionalFormatting>
  <x:conditionalFormatting sqref="D18:E18">
    <x:cfRule type="timePeriod" dxfId="1" priority="216" timePeriod="lastMonth">
      <x:formula>AND(MONTH(D18)=MONTH(EDATE(TODAY(),0-1)),YEAR(D18)=YEAR(EDATE(TODAY(),0-1)))</x:formula>
    </x:cfRule>
    <x:cfRule type="expression" dxfId="0" priority="217">
      <x:formula>$B18="土"</x:formula>
    </x:cfRule>
    <x:cfRule type="expression" dxfId="0" priority="218">
      <x:formula>$B18="日"</x:formula>
    </x:cfRule>
  </x:conditionalFormatting>
  <x:conditionalFormatting sqref="F18:F18">
    <x:cfRule type="timePeriod" dxfId="1" priority="208" timePeriod="lastMonth">
      <x:formula>AND(MONTH(F18)=MONTH(EDATE(TODAY(),0-1)),YEAR(F18)=YEAR(EDATE(TODAY(),0-1)))</x:formula>
    </x:cfRule>
    <x:cfRule type="expression" dxfId="0" priority="209">
      <x:formula>$B18="土"</x:formula>
    </x:cfRule>
    <x:cfRule type="expression" dxfId="0" priority="210">
      <x:formula>$B18="日"</x:formula>
    </x:cfRule>
  </x:conditionalFormatting>
  <x:conditionalFormatting sqref="H18:H18">
    <x:cfRule type="expression" dxfId="0" priority="202">
      <x:formula>$B18="土"</x:formula>
    </x:cfRule>
    <x:cfRule type="expression" dxfId="0" priority="203">
      <x:formula>$B18="日"</x:formula>
    </x:cfRule>
    <x:cfRule type="timePeriod" dxfId="1" priority="204" timePeriod="lastMonth">
      <x:formula>AND(MONTH(H18)=MONTH(EDATE(TODAY(),0-1)),YEAR(H18)=YEAR(EDATE(TODAY(),0-1)))</x:formula>
    </x:cfRule>
  </x:conditionalFormatting>
  <x:conditionalFormatting sqref="I18:I18">
    <x:cfRule type="expression" dxfId="0" priority="205">
      <x:formula>$B18="土"</x:formula>
    </x:cfRule>
    <x:cfRule type="expression" dxfId="0" priority="206">
      <x:formula>$B18="日"</x:formula>
    </x:cfRule>
    <x:cfRule type="timePeriod" dxfId="1" priority="207" timePeriod="lastMonth">
      <x:formula>AND(MONTH(I18)=MONTH(EDATE(TODAY(),0-1)),YEAR(I18)=YEAR(EDATE(TODAY(),0-1)))</x:formula>
    </x:cfRule>
  </x:conditionalFormatting>
  <x:conditionalFormatting sqref="C19:C19">
    <x:cfRule type="expression" dxfId="0" priority="197">
      <x:formula>$B19="土"</x:formula>
    </x:cfRule>
    <x:cfRule type="expression" dxfId="0" priority="198">
      <x:formula>$B19="日"</x:formula>
    </x:cfRule>
  </x:conditionalFormatting>
  <x:conditionalFormatting sqref="D19:E19">
    <x:cfRule type="timePeriod" dxfId="1" priority="199" timePeriod="lastMonth">
      <x:formula>AND(MONTH(D19)=MONTH(EDATE(TODAY(),0-1)),YEAR(D19)=YEAR(EDATE(TODAY(),0-1)))</x:formula>
    </x:cfRule>
    <x:cfRule type="expression" dxfId="0" priority="200">
      <x:formula>$B19="土"</x:formula>
    </x:cfRule>
    <x:cfRule type="expression" dxfId="0" priority="201">
      <x:formula>$B19="日"</x:formula>
    </x:cfRule>
  </x:conditionalFormatting>
  <x:conditionalFormatting sqref="F19:F19">
    <x:cfRule type="timePeriod" dxfId="1" priority="191" timePeriod="lastMonth">
      <x:formula>AND(MONTH(F19)=MONTH(EDATE(TODAY(),0-1)),YEAR(F19)=YEAR(EDATE(TODAY(),0-1)))</x:formula>
    </x:cfRule>
    <x:cfRule type="expression" dxfId="0" priority="192">
      <x:formula>$B19="土"</x:formula>
    </x:cfRule>
    <x:cfRule type="expression" dxfId="0" priority="193">
      <x:formula>$B19="日"</x:formula>
    </x:cfRule>
  </x:conditionalFormatting>
  <x:conditionalFormatting sqref="H19:H19">
    <x:cfRule type="expression" dxfId="0" priority="185">
      <x:formula>$B19="土"</x:formula>
    </x:cfRule>
    <x:cfRule type="expression" dxfId="0" priority="186">
      <x:formula>$B19="日"</x:formula>
    </x:cfRule>
    <x:cfRule type="timePeriod" dxfId="1" priority="187" timePeriod="lastMonth">
      <x:formula>AND(MONTH(H19)=MONTH(EDATE(TODAY(),0-1)),YEAR(H19)=YEAR(EDATE(TODAY(),0-1)))</x:formula>
    </x:cfRule>
  </x:conditionalFormatting>
  <x:conditionalFormatting sqref="A20:A20">
    <x:cfRule type="expression" dxfId="0" priority="295">
      <x:formula>$B20="土"</x:formula>
    </x:cfRule>
    <x:cfRule type="expression" dxfId="0" priority="296">
      <x:formula>$B20="日"</x:formula>
    </x:cfRule>
  </x:conditionalFormatting>
  <x:conditionalFormatting sqref="B20:B20">
    <x:cfRule type="expression" dxfId="0" priority="292">
      <x:formula>$B20="土"</x:formula>
    </x:cfRule>
    <x:cfRule type="expression" dxfId="0" priority="293">
      <x:formula>$B20="日"</x:formula>
    </x:cfRule>
    <x:cfRule type="timePeriod" dxfId="1" priority="294" timePeriod="lastMonth">
      <x:formula>AND(MONTH(B20)=MONTH(EDATE(TODAY(),0-1)),YEAR(B20)=YEAR(EDATE(TODAY(),0-1)))</x:formula>
    </x:cfRule>
  </x:conditionalFormatting>
  <x:conditionalFormatting sqref="H20:H20">
    <x:cfRule type="expression" dxfId="0" priority="408">
      <x:formula>$B20="土"</x:formula>
    </x:cfRule>
    <x:cfRule type="expression" dxfId="0" priority="409">
      <x:formula>$B20="日"</x:formula>
    </x:cfRule>
    <x:cfRule type="timePeriod" dxfId="1" priority="410" timePeriod="lastMonth">
      <x:formula>AND(MONTH(H20)=MONTH(EDATE(TODAY(),0-1)),YEAR(H20)=YEAR(EDATE(TODAY(),0-1)))</x:formula>
    </x:cfRule>
  </x:conditionalFormatting>
  <x:conditionalFormatting sqref="J20:J20">
    <x:cfRule type="expression" dxfId="0" priority="300">
      <x:formula>$B20="土"</x:formula>
    </x:cfRule>
    <x:cfRule type="expression" dxfId="0" priority="301">
      <x:formula>$B20="日"</x:formula>
    </x:cfRule>
    <x:cfRule type="timePeriod" dxfId="1" priority="302" timePeriod="lastMonth">
      <x:formula>AND(MONTH(J20)=MONTH(EDATE(TODAY(),0-1)),YEAR(J20)=YEAR(EDATE(TODAY(),0-1)))</x:formula>
    </x:cfRule>
  </x:conditionalFormatting>
  <x:conditionalFormatting sqref="K20:K20">
    <x:cfRule type="expression" dxfId="0" priority="297">
      <x:formula>$B20="土"</x:formula>
    </x:cfRule>
    <x:cfRule type="expression" dxfId="0" priority="298">
      <x:formula>$B20="日"</x:formula>
    </x:cfRule>
    <x:cfRule type="timePeriod" dxfId="1" priority="299" timePeriod="lastMonth">
      <x:formula>AND(MONTH(K20)=MONTH(EDATE(TODAY(),0-1)),YEAR(K20)=YEAR(EDATE(TODAY(),0-1)))</x:formula>
    </x:cfRule>
  </x:conditionalFormatting>
  <x:conditionalFormatting sqref="K21:K21">
    <x:cfRule type="expression" dxfId="0" priority="440">
      <x:formula>$B21="土"</x:formula>
    </x:cfRule>
    <x:cfRule type="expression" dxfId="0" priority="441">
      <x:formula>$B21="日"</x:formula>
    </x:cfRule>
    <x:cfRule type="timePeriod" dxfId="1" priority="442" timePeriod="lastMonth">
      <x:formula>AND(MONTH(K21)=MONTH(EDATE(TODAY(),0-1)),YEAR(K21)=YEAR(EDATE(TODAY(),0-1)))</x:formula>
    </x:cfRule>
  </x:conditionalFormatting>
  <x:conditionalFormatting sqref="H22:H22">
    <x:cfRule type="expression" dxfId="0" priority="396">
      <x:formula>$B22="土"</x:formula>
    </x:cfRule>
    <x:cfRule type="expression" dxfId="0" priority="397">
      <x:formula>$B22="日"</x:formula>
    </x:cfRule>
    <x:cfRule type="timePeriod" dxfId="1" priority="398" timePeriod="lastMonth">
      <x:formula>AND(MONTH(H22)=MONTH(EDATE(TODAY(),0-1)),YEAR(H22)=YEAR(EDATE(TODAY(),0-1)))</x:formula>
    </x:cfRule>
  </x:conditionalFormatting>
  <x:conditionalFormatting sqref="I22:I22">
    <x:cfRule type="expression" dxfId="0" priority="182">
      <x:formula>$B22="土"</x:formula>
    </x:cfRule>
    <x:cfRule type="expression" dxfId="0" priority="183">
      <x:formula>$B22="日"</x:formula>
    </x:cfRule>
    <x:cfRule type="timePeriod" dxfId="1" priority="184" timePeriod="lastMonth">
      <x:formula>AND(MONTH(I22)=MONTH(EDATE(TODAY(),0-1)),YEAR(I22)=YEAR(EDATE(TODAY(),0-1)))</x:formula>
    </x:cfRule>
  </x:conditionalFormatting>
  <x:conditionalFormatting sqref="A23:B23">
    <x:cfRule type="expression" dxfId="0" priority="451">
      <x:formula>$B23="土"</x:formula>
    </x:cfRule>
    <x:cfRule type="expression" dxfId="0" priority="452">
      <x:formula>$B23="日"</x:formula>
    </x:cfRule>
  </x:conditionalFormatting>
  <x:conditionalFormatting sqref="B23:B23">
    <x:cfRule type="timePeriod" dxfId="1" priority="453" timePeriod="lastMonth">
      <x:formula>AND(MONTH(B23)=MONTH(EDATE(TODAY(),0-1)),YEAR(B23)=YEAR(EDATE(TODAY(),0-1)))</x:formula>
    </x:cfRule>
  </x:conditionalFormatting>
  <x:conditionalFormatting sqref="H23:H23">
    <x:cfRule type="expression" dxfId="0" priority="159">
      <x:formula>$B23="土"</x:formula>
    </x:cfRule>
    <x:cfRule type="expression" dxfId="0" priority="160">
      <x:formula>$B23="日"</x:formula>
    </x:cfRule>
    <x:cfRule type="timePeriod" dxfId="1" priority="161" timePeriod="lastMonth">
      <x:formula>AND(MONTH(H23)=MONTH(EDATE(TODAY(),0-1)),YEAR(H23)=YEAR(EDATE(TODAY(),0-1)))</x:formula>
    </x:cfRule>
  </x:conditionalFormatting>
  <x:conditionalFormatting sqref="I23:I23">
    <x:cfRule type="expression" dxfId="0" priority="162">
      <x:formula>$B23="土"</x:formula>
    </x:cfRule>
    <x:cfRule type="expression" dxfId="0" priority="163">
      <x:formula>$B23="日"</x:formula>
    </x:cfRule>
    <x:cfRule type="timePeriod" dxfId="1" priority="164" timePeriod="lastMonth">
      <x:formula>AND(MONTH(I23)=MONTH(EDATE(TODAY(),0-1)),YEAR(I23)=YEAR(EDATE(TODAY(),0-1)))</x:formula>
    </x:cfRule>
  </x:conditionalFormatting>
  <x:conditionalFormatting sqref="J23:J23">
    <x:cfRule type="expression" dxfId="0" priority="448">
      <x:formula>$B23="土"</x:formula>
    </x:cfRule>
    <x:cfRule type="expression" dxfId="0" priority="449">
      <x:formula>$B23="日"</x:formula>
    </x:cfRule>
    <x:cfRule type="timePeriod" dxfId="1" priority="450" timePeriod="lastMonth">
      <x:formula>AND(MONTH(J23)=MONTH(EDATE(TODAY(),0-1)),YEAR(J23)=YEAR(EDATE(TODAY(),0-1)))</x:formula>
    </x:cfRule>
  </x:conditionalFormatting>
  <x:conditionalFormatting sqref="K23:K23">
    <x:cfRule type="timePeriod" dxfId="1" priority="446" timePeriod="lastMonth">
      <x:formula>AND(MONTH(K23)=MONTH(EDATE(TODAY(),0-1)),YEAR(K23)=YEAR(EDATE(TODAY(),0-1)))</x:formula>
    </x:cfRule>
    <x:cfRule type="expression" dxfId="3" priority="447">
      <x:formula>WEEKDAY(K$10)=L$4</x:formula>
    </x:cfRule>
  </x:conditionalFormatting>
  <x:conditionalFormatting sqref="J24:J24">
    <x:cfRule type="expression" dxfId="0" priority="535">
      <x:formula>$B24="土"</x:formula>
    </x:cfRule>
    <x:cfRule type="expression" dxfId="0" priority="536">
      <x:formula>$B24="日"</x:formula>
    </x:cfRule>
    <x:cfRule type="timePeriod" dxfId="1" priority="537" timePeriod="lastMonth">
      <x:formula>AND(MONTH(J24)=MONTH(EDATE(TODAY(),0-1)),YEAR(J24)=YEAR(EDATE(TODAY(),0-1)))</x:formula>
    </x:cfRule>
  </x:conditionalFormatting>
  <x:conditionalFormatting sqref="K24:K24">
    <x:cfRule type="timePeriod" dxfId="1" priority="513" timePeriod="lastMonth">
      <x:formula>AND(MONTH(K24)=MONTH(EDATE(TODAY(),0-1)),YEAR(K24)=YEAR(EDATE(TODAY(),0-1)))</x:formula>
    </x:cfRule>
    <x:cfRule type="expression" dxfId="3" priority="514">
      <x:formula>WEEKDAY(K$10)=L$4</x:formula>
    </x:cfRule>
  </x:conditionalFormatting>
  <x:conditionalFormatting sqref="C26:C26">
    <x:cfRule type="expression" dxfId="0" priority="119">
      <x:formula>$B26="土"</x:formula>
    </x:cfRule>
    <x:cfRule type="expression" dxfId="0" priority="120">
      <x:formula>$B26="日"</x:formula>
    </x:cfRule>
  </x:conditionalFormatting>
  <x:conditionalFormatting sqref="D26:E26">
    <x:cfRule type="timePeriod" dxfId="1" priority="121" timePeriod="lastMonth">
      <x:formula>AND(MONTH(D26)=MONTH(EDATE(TODAY(),0-1)),YEAR(D26)=YEAR(EDATE(TODAY(),0-1)))</x:formula>
    </x:cfRule>
    <x:cfRule type="expression" dxfId="0" priority="122">
      <x:formula>$B26="土"</x:formula>
    </x:cfRule>
    <x:cfRule type="expression" dxfId="0" priority="123">
      <x:formula>$B26="日"</x:formula>
    </x:cfRule>
  </x:conditionalFormatting>
  <x:conditionalFormatting sqref="H26:H26">
    <x:cfRule type="expression" dxfId="0" priority="28">
      <x:formula>$B26="土"</x:formula>
    </x:cfRule>
    <x:cfRule type="expression" dxfId="0" priority="29">
      <x:formula>$B26="日"</x:formula>
    </x:cfRule>
    <x:cfRule type="timePeriod" dxfId="1" priority="30" timePeriod="lastMonth">
      <x:formula>AND(MONTH(H26)=MONTH(EDATE(TODAY(),0-1)),YEAR(H26)=YEAR(EDATE(TODAY(),0-1)))</x:formula>
    </x:cfRule>
  </x:conditionalFormatting>
  <x:conditionalFormatting sqref="I26:I26">
    <x:cfRule type="expression" dxfId="0" priority="43">
      <x:formula>$B26="土"</x:formula>
    </x:cfRule>
    <x:cfRule type="expression" dxfId="0" priority="44">
      <x:formula>$B26="日"</x:formula>
    </x:cfRule>
    <x:cfRule type="timePeriod" dxfId="1" priority="45" timePeriod="lastMonth">
      <x:formula>AND(MONTH(I26)=MONTH(EDATE(TODAY(),0-1)),YEAR(I26)=YEAR(EDATE(TODAY(),0-1)))</x:formula>
    </x:cfRule>
  </x:conditionalFormatting>
  <x:conditionalFormatting sqref="H27:H27">
    <x:cfRule type="expression" dxfId="0" priority="25">
      <x:formula>$B27="土"</x:formula>
    </x:cfRule>
    <x:cfRule type="expression" dxfId="0" priority="26">
      <x:formula>$B27="日"</x:formula>
    </x:cfRule>
    <x:cfRule type="timePeriod" dxfId="1" priority="27" timePeriod="lastMonth">
      <x:formula>AND(MONTH(H27)=MONTH(EDATE(TODAY(),0-1)),YEAR(H27)=YEAR(EDATE(TODAY(),0-1)))</x:formula>
    </x:cfRule>
  </x:conditionalFormatting>
  <x:conditionalFormatting sqref="I27:I27">
    <x:cfRule type="expression" dxfId="0" priority="40">
      <x:formula>$B27="土"</x:formula>
    </x:cfRule>
    <x:cfRule type="expression" dxfId="0" priority="41">
      <x:formula>$B27="日"</x:formula>
    </x:cfRule>
    <x:cfRule type="timePeriod" dxfId="1" priority="42" timePeriod="lastMonth">
      <x:formula>AND(MONTH(I27)=MONTH(EDATE(TODAY(),0-1)),YEAR(I27)=YEAR(EDATE(TODAY(),0-1)))</x:formula>
    </x:cfRule>
  </x:conditionalFormatting>
  <x:conditionalFormatting sqref="H28:H28">
    <x:cfRule type="expression" dxfId="0" priority="22">
      <x:formula>$B28="土"</x:formula>
    </x:cfRule>
    <x:cfRule type="expression" dxfId="0" priority="23">
      <x:formula>$B28="日"</x:formula>
    </x:cfRule>
    <x:cfRule type="timePeriod" dxfId="1" priority="24" timePeriod="lastMonth">
      <x:formula>AND(MONTH(H28)=MONTH(EDATE(TODAY(),0-1)),YEAR(H28)=YEAR(EDATE(TODAY(),0-1)))</x:formula>
    </x:cfRule>
  </x:conditionalFormatting>
  <x:conditionalFormatting sqref="I28:I28">
    <x:cfRule type="expression" dxfId="0" priority="37">
      <x:formula>$B28="土"</x:formula>
    </x:cfRule>
    <x:cfRule type="expression" dxfId="0" priority="38">
      <x:formula>$B28="日"</x:formula>
    </x:cfRule>
    <x:cfRule type="timePeriod" dxfId="1" priority="39" timePeriod="lastMonth">
      <x:formula>AND(MONTH(I28)=MONTH(EDATE(TODAY(),0-1)),YEAR(I28)=YEAR(EDATE(TODAY(),0-1)))</x:formula>
    </x:cfRule>
  </x:conditionalFormatting>
  <x:conditionalFormatting sqref="H29:H29">
    <x:cfRule type="expression" dxfId="0" priority="19">
      <x:formula>$B29="土"</x:formula>
    </x:cfRule>
    <x:cfRule type="expression" dxfId="0" priority="20">
      <x:formula>$B29="日"</x:formula>
    </x:cfRule>
    <x:cfRule type="timePeriod" dxfId="1" priority="21" timePeriod="lastMonth">
      <x:formula>AND(MONTH(H29)=MONTH(EDATE(TODAY(),0-1)),YEAR(H29)=YEAR(EDATE(TODAY(),0-1)))</x:formula>
    </x:cfRule>
  </x:conditionalFormatting>
  <x:conditionalFormatting sqref="I29:I29">
    <x:cfRule type="expression" dxfId="0" priority="34">
      <x:formula>$B29="土"</x:formula>
    </x:cfRule>
    <x:cfRule type="expression" dxfId="0" priority="35">
      <x:formula>$B29="日"</x:formula>
    </x:cfRule>
    <x:cfRule type="timePeriod" dxfId="1" priority="36" timePeriod="lastMonth">
      <x:formula>AND(MONTH(I29)=MONTH(EDATE(TODAY(),0-1)),YEAR(I29)=YEAR(EDATE(TODAY(),0-1)))</x:formula>
    </x:cfRule>
  </x:conditionalFormatting>
  <x:conditionalFormatting sqref="H30:H30">
    <x:cfRule type="expression" dxfId="0" priority="16">
      <x:formula>$B30="土"</x:formula>
    </x:cfRule>
    <x:cfRule type="expression" dxfId="0" priority="17">
      <x:formula>$B30="日"</x:formula>
    </x:cfRule>
    <x:cfRule type="timePeriod" dxfId="1" priority="18" timePeriod="lastMonth">
      <x:formula>AND(MONTH(H30)=MONTH(EDATE(TODAY(),0-1)),YEAR(H30)=YEAR(EDATE(TODAY(),0-1)))</x:formula>
    </x:cfRule>
  </x:conditionalFormatting>
  <x:conditionalFormatting sqref="I30:I30">
    <x:cfRule type="expression" dxfId="0" priority="31">
      <x:formula>$B30="土"</x:formula>
    </x:cfRule>
    <x:cfRule type="expression" dxfId="0" priority="32">
      <x:formula>$B30="日"</x:formula>
    </x:cfRule>
    <x:cfRule type="timePeriod" dxfId="1" priority="33" timePeriod="lastMonth">
      <x:formula>AND(MONTH(I30)=MONTH(EDATE(TODAY(),0-1)),YEAR(I30)=YEAR(EDATE(TODAY(),0-1)))</x:formula>
    </x:cfRule>
  </x:conditionalFormatting>
  <x:conditionalFormatting sqref="C31:F31">
    <x:cfRule type="timePeriod" dxfId="1" priority="381" timePeriod="lastMonth">
      <x:formula>AND(MONTH(C31)=MONTH(EDATE(TODAY(),0-1)),YEAR(C31)=YEAR(EDATE(TODAY(),0-1)))</x:formula>
    </x:cfRule>
    <x:cfRule type="expression" dxfId="0" priority="382">
      <x:formula>$B31="土"</x:formula>
    </x:cfRule>
    <x:cfRule type="expression" dxfId="0" priority="383">
      <x:formula>$B31="日"</x:formula>
    </x:cfRule>
  </x:conditionalFormatting>
  <x:conditionalFormatting sqref="I31:I31">
    <x:cfRule type="expression" dxfId="0" priority="324">
      <x:formula>$B31="土"</x:formula>
    </x:cfRule>
    <x:cfRule type="expression" dxfId="0" priority="325">
      <x:formula>$B31="日"</x:formula>
    </x:cfRule>
    <x:cfRule type="timePeriod" dxfId="1" priority="326" timePeriod="lastMonth">
      <x:formula>AND(MONTH(I31)=MONTH(EDATE(TODAY(),0-1)),YEAR(I31)=YEAR(EDATE(TODAY(),0-1)))</x:formula>
    </x:cfRule>
  </x:conditionalFormatting>
  <x:conditionalFormatting sqref="J31:J31">
    <x:cfRule type="expression" dxfId="0" priority="532">
      <x:formula>$B31="土"</x:formula>
    </x:cfRule>
    <x:cfRule type="expression" dxfId="0" priority="533">
      <x:formula>$B31="日"</x:formula>
    </x:cfRule>
    <x:cfRule type="timePeriod" dxfId="1" priority="534" timePeriod="lastMonth">
      <x:formula>AND(MONTH(J31)=MONTH(EDATE(TODAY(),0-1)),YEAR(J31)=YEAR(EDATE(TODAY(),0-1)))</x:formula>
    </x:cfRule>
  </x:conditionalFormatting>
  <x:conditionalFormatting sqref="K31:K31">
    <x:cfRule type="timePeriod" dxfId="1" priority="530" timePeriod="lastMonth">
      <x:formula>AND(MONTH(K31)=MONTH(EDATE(TODAY(),0-1)),YEAR(K31)=YEAR(EDATE(TODAY(),0-1)))</x:formula>
    </x:cfRule>
    <x:cfRule type="expression" dxfId="3" priority="531">
      <x:formula>WEEKDAY(K$10)=L$4</x:formula>
    </x:cfRule>
  </x:conditionalFormatting>
  <x:conditionalFormatting sqref="I32:I32">
    <x:cfRule type="expression" dxfId="0" priority="321">
      <x:formula>$B32="土"</x:formula>
    </x:cfRule>
    <x:cfRule type="expression" dxfId="0" priority="322">
      <x:formula>$B32="日"</x:formula>
    </x:cfRule>
    <x:cfRule type="timePeriod" dxfId="1" priority="323" timePeriod="lastMonth">
      <x:formula>AND(MONTH(I32)=MONTH(EDATE(TODAY(),0-1)),YEAR(I32)=YEAR(EDATE(TODAY(),0-1)))</x:formula>
    </x:cfRule>
  </x:conditionalFormatting>
  <x:conditionalFormatting sqref="I33:I33">
    <x:cfRule type="expression" dxfId="0" priority="318">
      <x:formula>$B33="土"</x:formula>
    </x:cfRule>
    <x:cfRule type="expression" dxfId="0" priority="319">
      <x:formula>$B33="日"</x:formula>
    </x:cfRule>
    <x:cfRule type="timePeriod" dxfId="1" priority="320" timePeriod="lastMonth">
      <x:formula>AND(MONTH(I33)=MONTH(EDATE(TODAY(),0-1)),YEAR(I33)=YEAR(EDATE(TODAY(),0-1)))</x:formula>
    </x:cfRule>
  </x:conditionalFormatting>
  <x:conditionalFormatting sqref="H34:H34">
    <x:cfRule type="expression" dxfId="0" priority="280">
      <x:formula>$B34="土"</x:formula>
    </x:cfRule>
    <x:cfRule type="expression" dxfId="0" priority="281">
      <x:formula>$B34="日"</x:formula>
    </x:cfRule>
    <x:cfRule type="timePeriod" dxfId="1" priority="282" timePeriod="lastMonth">
      <x:formula>AND(MONTH(H34)=MONTH(EDATE(TODAY(),0-1)),YEAR(H34)=YEAR(EDATE(TODAY(),0-1)))</x:formula>
    </x:cfRule>
  </x:conditionalFormatting>
  <x:conditionalFormatting sqref="I34:I34">
    <x:cfRule type="expression" dxfId="0" priority="798">
      <x:formula>$B33="土"</x:formula>
    </x:cfRule>
    <x:cfRule type="expression" dxfId="0" priority="799">
      <x:formula>$B33="日"</x:formula>
    </x:cfRule>
  </x:conditionalFormatting>
  <x:conditionalFormatting sqref="H35:H35">
    <x:cfRule type="timePeriod" dxfId="1" priority="303" timePeriod="lastMonth">
      <x:formula>AND(MONTH(H35)=MONTH(EDATE(TODAY(),0-1)),YEAR(H35)=YEAR(EDATE(TODAY(),0-1)))</x:formula>
    </x:cfRule>
    <x:cfRule type="expression" dxfId="0" priority="304">
      <x:formula>$B35="土"</x:formula>
    </x:cfRule>
    <x:cfRule type="expression" dxfId="0" priority="305">
      <x:formula>$B35="日"</x:formula>
    </x:cfRule>
  </x:conditionalFormatting>
  <x:conditionalFormatting sqref="I35:I35">
    <x:cfRule type="expression" dxfId="0" priority="312">
      <x:formula>$B35="土"</x:formula>
    </x:cfRule>
    <x:cfRule type="expression" dxfId="0" priority="313">
      <x:formula>$B35="日"</x:formula>
    </x:cfRule>
    <x:cfRule type="timePeriod" dxfId="1" priority="314" timePeriod="lastMonth">
      <x:formula>AND(MONTH(I35)=MONTH(EDATE(TODAY(),0-1)),YEAR(I35)=YEAR(EDATE(TODAY(),0-1)))</x:formula>
    </x:cfRule>
  </x:conditionalFormatting>
  <x:conditionalFormatting sqref="C36:E36">
    <x:cfRule type="timePeriod" dxfId="1" priority="93" timePeriod="lastMonth">
      <x:formula>AND(MONTH(C36)=MONTH(EDATE(TODAY(),0-1)),YEAR(C36)=YEAR(EDATE(TODAY(),0-1)))</x:formula>
    </x:cfRule>
    <x:cfRule type="expression" dxfId="0" priority="94">
      <x:formula>$B36="土"</x:formula>
    </x:cfRule>
    <x:cfRule type="expression" dxfId="0" priority="95">
      <x:formula>$B36="日"</x:formula>
    </x:cfRule>
  </x:conditionalFormatting>
  <x:conditionalFormatting sqref="H36:H36">
    <x:cfRule type="expression" dxfId="0" priority="4">
      <x:formula>$B36="土"</x:formula>
    </x:cfRule>
    <x:cfRule type="expression" dxfId="0" priority="5">
      <x:formula>$B36="日"</x:formula>
    </x:cfRule>
    <x:cfRule type="timePeriod" dxfId="1" priority="6" timePeriod="lastMonth">
      <x:formula>AND(MONTH(H36)=MONTH(EDATE(TODAY(),0-1)),YEAR(H36)=YEAR(EDATE(TODAY(),0-1)))</x:formula>
    </x:cfRule>
  </x:conditionalFormatting>
  <x:conditionalFormatting sqref="I36:I36">
    <x:cfRule type="expression" dxfId="0" priority="13">
      <x:formula>$B36="土"</x:formula>
    </x:cfRule>
    <x:cfRule type="expression" dxfId="0" priority="14">
      <x:formula>$B36="日"</x:formula>
    </x:cfRule>
    <x:cfRule type="timePeriod" dxfId="1" priority="15" timePeriod="lastMonth">
      <x:formula>AND(MONTH(I36)=MONTH(EDATE(TODAY(),0-1)),YEAR(I36)=YEAR(EDATE(TODAY(),0-1)))</x:formula>
    </x:cfRule>
  </x:conditionalFormatting>
  <x:conditionalFormatting sqref="J36:J36">
    <x:cfRule type="expression" dxfId="0" priority="505">
      <x:formula>$B36="土"</x:formula>
    </x:cfRule>
    <x:cfRule type="expression" dxfId="0" priority="506">
      <x:formula>$B36="日"</x:formula>
    </x:cfRule>
    <x:cfRule type="timePeriod" dxfId="1" priority="507" timePeriod="lastMonth">
      <x:formula>AND(MONTH(J36)=MONTH(EDATE(TODAY(),0-1)),YEAR(J36)=YEAR(EDATE(TODAY(),0-1)))</x:formula>
    </x:cfRule>
  </x:conditionalFormatting>
  <x:conditionalFormatting sqref="K36:K36">
    <x:cfRule type="timePeriod" dxfId="1" priority="503" timePeriod="lastMonth">
      <x:formula>AND(MONTH(K36)=MONTH(EDATE(TODAY(),0-1)),YEAR(K36)=YEAR(EDATE(TODAY(),0-1)))</x:formula>
    </x:cfRule>
    <x:cfRule type="expression" dxfId="3" priority="504">
      <x:formula>WEEKDAY(K$10)=L$4</x:formula>
    </x:cfRule>
  </x:conditionalFormatting>
  <x:conditionalFormatting sqref="C37:E37">
    <x:cfRule type="timePeriod" dxfId="1" priority="87" timePeriod="lastMonth">
      <x:formula>AND(MONTH(C37)=MONTH(EDATE(TODAY(),0-1)),YEAR(C37)=YEAR(EDATE(TODAY(),0-1)))</x:formula>
    </x:cfRule>
    <x:cfRule type="expression" dxfId="0" priority="88">
      <x:formula>$B37="土"</x:formula>
    </x:cfRule>
    <x:cfRule type="expression" dxfId="0" priority="89">
      <x:formula>$B37="日"</x:formula>
    </x:cfRule>
  </x:conditionalFormatting>
  <x:conditionalFormatting sqref="H37:H37">
    <x:cfRule type="expression" dxfId="0" priority="1">
      <x:formula>$B37="土"</x:formula>
    </x:cfRule>
    <x:cfRule type="expression" dxfId="0" priority="2">
      <x:formula>$B37="日"</x:formula>
    </x:cfRule>
    <x:cfRule type="timePeriod" dxfId="1" priority="3" timePeriod="lastMonth">
      <x:formula>AND(MONTH(H37)=MONTH(EDATE(TODAY(),0-1)),YEAR(H37)=YEAR(EDATE(TODAY(),0-1)))</x:formula>
    </x:cfRule>
  </x:conditionalFormatting>
  <x:conditionalFormatting sqref="I37:I37">
    <x:cfRule type="expression" dxfId="0" priority="10">
      <x:formula>$B37="土"</x:formula>
    </x:cfRule>
    <x:cfRule type="expression" dxfId="0" priority="11">
      <x:formula>$B37="日"</x:formula>
    </x:cfRule>
    <x:cfRule type="timePeriod" dxfId="1" priority="12" timePeriod="lastMonth">
      <x:formula>AND(MONTH(I37)=MONTH(EDATE(TODAY(),0-1)),YEAR(I37)=YEAR(EDATE(TODAY(),0-1)))</x:formula>
    </x:cfRule>
  </x:conditionalFormatting>
  <x:conditionalFormatting sqref="J37:J37">
    <x:cfRule type="expression" dxfId="0" priority="500">
      <x:formula>$B37="土"</x:formula>
    </x:cfRule>
    <x:cfRule type="expression" dxfId="0" priority="501">
      <x:formula>$B37="日"</x:formula>
    </x:cfRule>
    <x:cfRule type="timePeriod" dxfId="1" priority="502" timePeriod="lastMonth">
      <x:formula>AND(MONTH(J37)=MONTH(EDATE(TODAY(),0-1)),YEAR(J37)=YEAR(EDATE(TODAY(),0-1)))</x:formula>
    </x:cfRule>
  </x:conditionalFormatting>
  <x:conditionalFormatting sqref="K37:K37">
    <x:cfRule type="timePeriod" dxfId="1" priority="498" timePeriod="lastMonth">
      <x:formula>AND(MONTH(K37)=MONTH(EDATE(TODAY(),0-1)),YEAR(K37)=YEAR(EDATE(TODAY(),0-1)))</x:formula>
    </x:cfRule>
    <x:cfRule type="expression" dxfId="3" priority="499">
      <x:formula>WEEKDAY(K$10)=L$4</x:formula>
    </x:cfRule>
  </x:conditionalFormatting>
  <x:conditionalFormatting sqref="C38:F38">
    <x:cfRule type="timePeriod" dxfId="1" priority="357" timePeriod="lastMonth">
      <x:formula>AND(MONTH(C38)=MONTH(EDATE(TODAY(),0-1)),YEAR(C38)=YEAR(EDATE(TODAY(),0-1)))</x:formula>
    </x:cfRule>
    <x:cfRule type="expression" dxfId="0" priority="358">
      <x:formula>$B38="土"</x:formula>
    </x:cfRule>
    <x:cfRule type="expression" dxfId="0" priority="359">
      <x:formula>$B38="日"</x:formula>
    </x:cfRule>
  </x:conditionalFormatting>
  <x:conditionalFormatting sqref="H38:H38">
    <x:cfRule type="expression" dxfId="0" priority="277">
      <x:formula>$B38="土"</x:formula>
    </x:cfRule>
    <x:cfRule type="expression" dxfId="0" priority="278">
      <x:formula>$B38="日"</x:formula>
    </x:cfRule>
    <x:cfRule type="timePeriod" dxfId="1" priority="279" timePeriod="lastMonth">
      <x:formula>AND(MONTH(H38)=MONTH(EDATE(TODAY(),0-1)),YEAR(H38)=YEAR(EDATE(TODAY(),0-1)))</x:formula>
    </x:cfRule>
  </x:conditionalFormatting>
  <x:conditionalFormatting sqref="J38:J38">
    <x:cfRule type="expression" dxfId="0" priority="527">
      <x:formula>$B38="土"</x:formula>
    </x:cfRule>
    <x:cfRule type="expression" dxfId="0" priority="528">
      <x:formula>$B38="日"</x:formula>
    </x:cfRule>
    <x:cfRule type="timePeriod" dxfId="1" priority="529" timePeriod="lastMonth">
      <x:formula>AND(MONTH(J38)=MONTH(EDATE(TODAY(),0-1)),YEAR(J38)=YEAR(EDATE(TODAY(),0-1)))</x:formula>
    </x:cfRule>
  </x:conditionalFormatting>
  <x:conditionalFormatting sqref="K38:K38">
    <x:cfRule type="timePeriod" dxfId="1" priority="525" timePeriod="lastMonth">
      <x:formula>AND(MONTH(K38)=MONTH(EDATE(TODAY(),0-1)),YEAR(K38)=YEAR(EDATE(TODAY(),0-1)))</x:formula>
    </x:cfRule>
    <x:cfRule type="expression" dxfId="3" priority="526">
      <x:formula>WEEKDAY(K$10)=L$4</x:formula>
    </x:cfRule>
  </x:conditionalFormatting>
  <x:conditionalFormatting sqref="A25:A29">
    <x:cfRule type="expression" dxfId="0" priority="486">
      <x:formula>$B25="土"</x:formula>
    </x:cfRule>
    <x:cfRule type="expression" dxfId="0" priority="487">
      <x:formula>$B25="日"</x:formula>
    </x:cfRule>
  </x:conditionalFormatting>
  <x:conditionalFormatting sqref="B25:B26">
    <x:cfRule type="expression" dxfId="0" priority="560">
      <x:formula>$B25="土"</x:formula>
    </x:cfRule>
    <x:cfRule type="expression" dxfId="0" priority="561">
      <x:formula>$B25="日"</x:formula>
    </x:cfRule>
  </x:conditionalFormatting>
  <x:conditionalFormatting sqref="C13:C14">
    <x:cfRule type="expression" dxfId="0" priority="76">
      <x:formula>$B13="土"</x:formula>
    </x:cfRule>
    <x:cfRule type="expression" dxfId="0" priority="77">
      <x:formula>$B13="日"</x:formula>
    </x:cfRule>
  </x:conditionalFormatting>
  <x:conditionalFormatting sqref="C20:C21">
    <x:cfRule type="expression" dxfId="0" priority="74">
      <x:formula>$B20="土"</x:formula>
    </x:cfRule>
    <x:cfRule type="expression" dxfId="0" priority="75">
      <x:formula>$B20="日"</x:formula>
    </x:cfRule>
  </x:conditionalFormatting>
  <x:conditionalFormatting sqref="C22:C23">
    <x:cfRule type="expression" dxfId="0" priority="177">
      <x:formula>$B22="土"</x:formula>
    </x:cfRule>
    <x:cfRule type="expression" dxfId="0" priority="178">
      <x:formula>$B22="日"</x:formula>
    </x:cfRule>
  </x:conditionalFormatting>
  <x:conditionalFormatting sqref="C27:C30">
    <x:cfRule type="expression" dxfId="0" priority="72">
      <x:formula>$B27="土"</x:formula>
    </x:cfRule>
    <x:cfRule type="expression" dxfId="0" priority="73">
      <x:formula>$B27="日"</x:formula>
    </x:cfRule>
  </x:conditionalFormatting>
  <x:conditionalFormatting sqref="C34:C35">
    <x:cfRule type="expression" dxfId="0" priority="70">
      <x:formula>$B34="土"</x:formula>
    </x:cfRule>
    <x:cfRule type="expression" dxfId="0" priority="71">
      <x:formula>$B34="日"</x:formula>
    </x:cfRule>
  </x:conditionalFormatting>
  <x:conditionalFormatting sqref="D13:D14">
    <x:cfRule type="timePeriod" dxfId="1" priority="67" timePeriod="lastMonth">
      <x:formula>AND(MONTH(D13)=MONTH(EDATE(TODAY(),0-1)),YEAR(D13)=YEAR(EDATE(TODAY(),0-1)))</x:formula>
    </x:cfRule>
    <x:cfRule type="expression" dxfId="0" priority="68">
      <x:formula>$B13="土"</x:formula>
    </x:cfRule>
    <x:cfRule type="expression" dxfId="0" priority="69">
      <x:formula>$B13="日"</x:formula>
    </x:cfRule>
  </x:conditionalFormatting>
  <x:conditionalFormatting sqref="D20:D21">
    <x:cfRule type="timePeriod" dxfId="1" priority="61" timePeriod="lastMonth">
      <x:formula>AND(MONTH(D20)=MONTH(EDATE(TODAY(),0-1)),YEAR(D20)=YEAR(EDATE(TODAY(),0-1)))</x:formula>
    </x:cfRule>
    <x:cfRule type="expression" dxfId="0" priority="62">
      <x:formula>$B20="土"</x:formula>
    </x:cfRule>
    <x:cfRule type="expression" dxfId="0" priority="63">
      <x:formula>$B20="日"</x:formula>
    </x:cfRule>
  </x:conditionalFormatting>
  <x:conditionalFormatting sqref="D27:D30">
    <x:cfRule type="timePeriod" dxfId="1" priority="55" timePeriod="lastMonth">
      <x:formula>AND(MONTH(D27)=MONTH(EDATE(TODAY(),0-1)),YEAR(D27)=YEAR(EDATE(TODAY(),0-1)))</x:formula>
    </x:cfRule>
    <x:cfRule type="expression" dxfId="0" priority="56">
      <x:formula>$B27="土"</x:formula>
    </x:cfRule>
    <x:cfRule type="expression" dxfId="0" priority="57">
      <x:formula>$B27="日"</x:formula>
    </x:cfRule>
  </x:conditionalFormatting>
  <x:conditionalFormatting sqref="D34:D35">
    <x:cfRule type="timePeriod" dxfId="1" priority="49" timePeriod="lastMonth">
      <x:formula>AND(MONTH(D34)=MONTH(EDATE(TODAY(),0-1)),YEAR(D34)=YEAR(EDATE(TODAY(),0-1)))</x:formula>
    </x:cfRule>
    <x:cfRule type="expression" dxfId="0" priority="50">
      <x:formula>$B34="土"</x:formula>
    </x:cfRule>
    <x:cfRule type="expression" dxfId="0" priority="51">
      <x:formula>$B34="日"</x:formula>
    </x:cfRule>
  </x:conditionalFormatting>
  <x:conditionalFormatting sqref="E13:E14">
    <x:cfRule type="timePeriod" dxfId="1" priority="64" timePeriod="lastMonth">
      <x:formula>AND(MONTH(E13)=MONTH(EDATE(TODAY(),0-1)),YEAR(E13)=YEAR(EDATE(TODAY(),0-1)))</x:formula>
    </x:cfRule>
    <x:cfRule type="expression" dxfId="0" priority="65">
      <x:formula>$B13="土"</x:formula>
    </x:cfRule>
    <x:cfRule type="expression" dxfId="0" priority="66">
      <x:formula>$B13="日"</x:formula>
    </x:cfRule>
  </x:conditionalFormatting>
  <x:conditionalFormatting sqref="E20:E21">
    <x:cfRule type="timePeriod" dxfId="1" priority="58" timePeriod="lastMonth">
      <x:formula>AND(MONTH(E20)=MONTH(EDATE(TODAY(),0-1)),YEAR(E20)=YEAR(EDATE(TODAY(),0-1)))</x:formula>
    </x:cfRule>
    <x:cfRule type="expression" dxfId="0" priority="59">
      <x:formula>$B20="土"</x:formula>
    </x:cfRule>
    <x:cfRule type="expression" dxfId="0" priority="60">
      <x:formula>$B20="日"</x:formula>
    </x:cfRule>
  </x:conditionalFormatting>
  <x:conditionalFormatting sqref="E27:E30">
    <x:cfRule type="timePeriod" dxfId="1" priority="52" timePeriod="lastMonth">
      <x:formula>AND(MONTH(E27)=MONTH(EDATE(TODAY(),0-1)),YEAR(E27)=YEAR(EDATE(TODAY(),0-1)))</x:formula>
    </x:cfRule>
    <x:cfRule type="expression" dxfId="0" priority="53">
      <x:formula>$B27="土"</x:formula>
    </x:cfRule>
    <x:cfRule type="expression" dxfId="0" priority="54">
      <x:formula>$B27="日"</x:formula>
    </x:cfRule>
  </x:conditionalFormatting>
  <x:conditionalFormatting sqref="E34:E35">
    <x:cfRule type="timePeriod" dxfId="1" priority="46" timePeriod="lastMonth">
      <x:formula>AND(MONTH(E34)=MONTH(EDATE(TODAY(),0-1)),YEAR(E34)=YEAR(EDATE(TODAY(),0-1)))</x:formula>
    </x:cfRule>
    <x:cfRule type="expression" dxfId="0" priority="47">
      <x:formula>$B34="土"</x:formula>
    </x:cfRule>
    <x:cfRule type="expression" dxfId="0" priority="48">
      <x:formula>$B34="日"</x:formula>
    </x:cfRule>
  </x:conditionalFormatting>
  <x:conditionalFormatting sqref="F10:F14">
    <x:cfRule type="timePeriod" dxfId="1" priority="351" timePeriod="lastMonth">
      <x:formula>AND(MONTH(F10)=MONTH(EDATE(TODAY(),0-1)),YEAR(F10)=YEAR(EDATE(TODAY(),0-1)))</x:formula>
    </x:cfRule>
    <x:cfRule type="expression" dxfId="0" priority="352">
      <x:formula>$B10="土"</x:formula>
    </x:cfRule>
    <x:cfRule type="expression" dxfId="0" priority="353">
      <x:formula>$B10="日"</x:formula>
    </x:cfRule>
  </x:conditionalFormatting>
  <x:conditionalFormatting sqref="F20:F23">
    <x:cfRule type="timePeriod" dxfId="1" priority="168" timePeriod="lastMonth">
      <x:formula>AND(MONTH(F20)=MONTH(EDATE(TODAY(),0-1)),YEAR(F20)=YEAR(EDATE(TODAY(),0-1)))</x:formula>
    </x:cfRule>
    <x:cfRule type="expression" dxfId="0" priority="169">
      <x:formula>$B20="土"</x:formula>
    </x:cfRule>
    <x:cfRule type="expression" dxfId="0" priority="170">
      <x:formula>$B20="日"</x:formula>
    </x:cfRule>
  </x:conditionalFormatting>
  <x:conditionalFormatting sqref="F26:F30">
    <x:cfRule type="timePeriod" dxfId="1" priority="113" timePeriod="lastMonth">
      <x:formula>AND(MONTH(F26)=MONTH(EDATE(TODAY(),0-1)),YEAR(F26)=YEAR(EDATE(TODAY(),0-1)))</x:formula>
    </x:cfRule>
    <x:cfRule type="expression" dxfId="0" priority="114">
      <x:formula>$B26="土"</x:formula>
    </x:cfRule>
    <x:cfRule type="expression" dxfId="0" priority="115">
      <x:formula>$B26="日"</x:formula>
    </x:cfRule>
  </x:conditionalFormatting>
  <x:conditionalFormatting sqref="F39:F40">
    <x:cfRule type="timePeriod" dxfId="1" priority="348" timePeriod="lastMonth">
      <x:formula>AND(MONTH(F39)=MONTH(EDATE(TODAY(),0-1)),YEAR(F39)=YEAR(EDATE(TODAY(),0-1)))</x:formula>
    </x:cfRule>
    <x:cfRule type="expression" dxfId="0" priority="349">
      <x:formula>$B39="土"</x:formula>
    </x:cfRule>
    <x:cfRule type="expression" dxfId="0" priority="350">
      <x:formula>$B39="日"</x:formula>
    </x:cfRule>
  </x:conditionalFormatting>
  <x:conditionalFormatting sqref="G10:G40">
    <x:cfRule type="expression" dxfId="3" priority="425">
      <x:formula>$B10="土"</x:formula>
    </x:cfRule>
    <x:cfRule type="expression" dxfId="3" priority="426">
      <x:formula>$B10="日"</x:formula>
    </x:cfRule>
    <x:cfRule type="timePeriod" dxfId="1" priority="427" timePeriod="lastMonth">
      <x:formula>AND(MONTH(G10)=MONTH(EDATE(TODAY(),0-1)),YEAR(G10)=YEAR(EDATE(TODAY(),0-1)))</x:formula>
    </x:cfRule>
  </x:conditionalFormatting>
  <x:conditionalFormatting sqref="H24:H25">
    <x:cfRule type="expression" dxfId="0" priority="147">
      <x:formula>$B24="土"</x:formula>
    </x:cfRule>
    <x:cfRule type="expression" dxfId="0" priority="148">
      <x:formula>$B24="日"</x:formula>
    </x:cfRule>
    <x:cfRule type="timePeriod" dxfId="1" priority="149" timePeriod="lastMonth">
      <x:formula>AND(MONTH(H24)=MONTH(EDATE(TODAY(),0-1)),YEAR(H24)=YEAR(EDATE(TODAY(),0-1)))</x:formula>
    </x:cfRule>
  </x:conditionalFormatting>
  <x:conditionalFormatting sqref="H39:H40">
    <x:cfRule type="expression" dxfId="0" priority="274">
      <x:formula>$B39="土"</x:formula>
    </x:cfRule>
    <x:cfRule type="expression" dxfId="0" priority="275">
      <x:formula>$B39="日"</x:formula>
    </x:cfRule>
    <x:cfRule type="timePeriod" dxfId="1" priority="276" timePeriod="lastMonth">
      <x:formula>AND(MONTH(H39)=MONTH(EDATE(TODAY(),0-1)),YEAR(H39)=YEAR(EDATE(TODAY(),0-1)))</x:formula>
    </x:cfRule>
  </x:conditionalFormatting>
  <x:conditionalFormatting sqref="I19:I21">
    <x:cfRule type="expression" dxfId="0" priority="188">
      <x:formula>$B19="土"</x:formula>
    </x:cfRule>
    <x:cfRule type="expression" dxfId="0" priority="189">
      <x:formula>$B19="日"</x:formula>
    </x:cfRule>
    <x:cfRule type="timePeriod" dxfId="1" priority="190" timePeriod="lastMonth">
      <x:formula>AND(MONTH(I19)=MONTH(EDATE(TODAY(),0-1)),YEAR(I19)=YEAR(EDATE(TODAY(),0-1)))</x:formula>
    </x:cfRule>
  </x:conditionalFormatting>
  <x:conditionalFormatting sqref="I24:I25">
    <x:cfRule type="expression" dxfId="0" priority="150">
      <x:formula>$B24="土"</x:formula>
    </x:cfRule>
    <x:cfRule type="expression" dxfId="0" priority="151">
      <x:formula>$B24="日"</x:formula>
    </x:cfRule>
    <x:cfRule type="timePeriod" dxfId="1" priority="152" timePeriod="lastMonth">
      <x:formula>AND(MONTH(I24)=MONTH(EDATE(TODAY(),0-1)),YEAR(I24)=YEAR(EDATE(TODAY(),0-1)))</x:formula>
    </x:cfRule>
  </x:conditionalFormatting>
  <x:conditionalFormatting sqref="I38:I40">
    <x:cfRule type="expression" dxfId="0" priority="309">
      <x:formula>$B38="土"</x:formula>
    </x:cfRule>
    <x:cfRule type="expression" dxfId="0" priority="310">
      <x:formula>$B38="日"</x:formula>
    </x:cfRule>
    <x:cfRule type="timePeriod" dxfId="1" priority="311" timePeriod="lastMonth">
      <x:formula>AND(MONTH(I38)=MONTH(EDATE(TODAY(),0-1)),YEAR(I38)=YEAR(EDATE(TODAY(),0-1)))</x:formula>
    </x:cfRule>
  </x:conditionalFormatting>
  <x:conditionalFormatting sqref="J25:J30">
    <x:cfRule type="timePeriod" dxfId="1" priority="483" timePeriod="lastMonth">
      <x:formula>AND(MONTH(J25)=MONTH(EDATE(TODAY(),0-1)),YEAR(J25)=YEAR(EDATE(TODAY(),0-1)))</x:formula>
    </x:cfRule>
    <x:cfRule type="expression" dxfId="0" priority="484">
      <x:formula>$B25="土"</x:formula>
    </x:cfRule>
    <x:cfRule type="expression" dxfId="0" priority="485">
      <x:formula>$B25="日"</x:formula>
    </x:cfRule>
  </x:conditionalFormatting>
  <x:conditionalFormatting sqref="J32:J35">
    <x:cfRule type="expression" dxfId="0" priority="464">
      <x:formula>$B32="土"</x:formula>
    </x:cfRule>
    <x:cfRule type="expression" dxfId="0" priority="465">
      <x:formula>$B32="日"</x:formula>
    </x:cfRule>
    <x:cfRule type="timePeriod" dxfId="1" priority="466" timePeriod="lastMonth">
      <x:formula>AND(MONTH(J32)=MONTH(EDATE(TODAY(),0-1)),YEAR(J32)=YEAR(EDATE(TODAY(),0-1)))</x:formula>
    </x:cfRule>
  </x:conditionalFormatting>
  <x:conditionalFormatting sqref="J39:J40">
    <x:cfRule type="expression" dxfId="0" priority="522">
      <x:formula>$B39="土"</x:formula>
    </x:cfRule>
    <x:cfRule type="expression" dxfId="0" priority="523">
      <x:formula>$B39="日"</x:formula>
    </x:cfRule>
    <x:cfRule type="timePeriod" dxfId="1" priority="524" timePeriod="lastMonth">
      <x:formula>AND(MONTH(J39)=MONTH(EDATE(TODAY(),0-1)),YEAR(J39)=YEAR(EDATE(TODAY(),0-1)))</x:formula>
    </x:cfRule>
  </x:conditionalFormatting>
  <x:conditionalFormatting sqref="K11:K12">
    <x:cfRule type="timePeriod" dxfId="1" priority="540" timePeriod="lastMonth">
      <x:formula>AND(MONTH(K11)=MONTH(EDATE(TODAY(),0-1)),YEAR(K11)=YEAR(EDATE(TODAY(),0-1)))</x:formula>
    </x:cfRule>
    <x:cfRule type="expression" dxfId="3" priority="541">
      <x:formula>WEEKDAY(K$10)=L$4</x:formula>
    </x:cfRule>
  </x:conditionalFormatting>
  <x:conditionalFormatting sqref="K13:K14">
    <x:cfRule type="expression" dxfId="0" priority="443">
      <x:formula>$B13="土"</x:formula>
    </x:cfRule>
    <x:cfRule type="expression" dxfId="0" priority="444">
      <x:formula>$B13="日"</x:formula>
    </x:cfRule>
    <x:cfRule type="timePeriod" dxfId="1" priority="445" timePeriod="lastMonth">
      <x:formula>AND(MONTH(K13)=MONTH(EDATE(TODAY(),0-1)),YEAR(K13)=YEAR(EDATE(TODAY(),0-1)))</x:formula>
    </x:cfRule>
  </x:conditionalFormatting>
  <x:conditionalFormatting sqref="K25:K26">
    <x:cfRule type="timePeriod" dxfId="1" priority="460" timePeriod="lastMonth">
      <x:formula>AND(MONTH(K25)=MONTH(EDATE(TODAY(),0-1)),YEAR(K25)=YEAR(EDATE(TODAY(),0-1)))</x:formula>
    </x:cfRule>
    <x:cfRule type="expression" dxfId="3" priority="461">
      <x:formula>WEEKDAY(K$10)=L$4</x:formula>
    </x:cfRule>
  </x:conditionalFormatting>
  <x:conditionalFormatting sqref="K27:K30">
    <x:cfRule type="expression" dxfId="0" priority="437">
      <x:formula>$B27="土"</x:formula>
    </x:cfRule>
    <x:cfRule type="expression" dxfId="0" priority="438">
      <x:formula>$B27="日"</x:formula>
    </x:cfRule>
    <x:cfRule type="timePeriod" dxfId="1" priority="439" timePeriod="lastMonth">
      <x:formula>AND(MONTH(K27)=MONTH(EDATE(TODAY(),0-1)),YEAR(K27)=YEAR(EDATE(TODAY(),0-1)))</x:formula>
    </x:cfRule>
  </x:conditionalFormatting>
  <x:conditionalFormatting sqref="K32:K33">
    <x:cfRule type="timePeriod" dxfId="1" priority="462" timePeriod="lastMonth">
      <x:formula>AND(MONTH(K32)=MONTH(EDATE(TODAY(),0-1)),YEAR(K32)=YEAR(EDATE(TODAY(),0-1)))</x:formula>
    </x:cfRule>
    <x:cfRule type="expression" dxfId="3" priority="463">
      <x:formula>WEEKDAY(K$10)=L$4</x:formula>
    </x:cfRule>
  </x:conditionalFormatting>
  <x:conditionalFormatting sqref="K34:K35">
    <x:cfRule type="expression" dxfId="0" priority="434">
      <x:formula>$B34="土"</x:formula>
    </x:cfRule>
    <x:cfRule type="expression" dxfId="0" priority="435">
      <x:formula>$B34="日"</x:formula>
    </x:cfRule>
    <x:cfRule type="timePeriod" dxfId="1" priority="436" timePeriod="lastMonth">
      <x:formula>AND(MONTH(K34)=MONTH(EDATE(TODAY(),0-1)),YEAR(K34)=YEAR(EDATE(TODAY(),0-1)))</x:formula>
    </x:cfRule>
  </x:conditionalFormatting>
  <x:conditionalFormatting sqref="K39:K40">
    <x:cfRule type="timePeriod" dxfId="1" priority="520" timePeriod="lastMonth">
      <x:formula>AND(MONTH(K39)=MONTH(EDATE(TODAY(),0-1)),YEAR(K39)=YEAR(EDATE(TODAY(),0-1)))</x:formula>
    </x:cfRule>
    <x:cfRule type="expression" dxfId="3" priority="521">
      <x:formula>WEEKDAY(K$10)=L$4</x:formula>
    </x:cfRule>
  </x:conditionalFormatting>
  <x:conditionalFormatting sqref="A10:B19 A24:B24 A21:B22">
    <x:cfRule type="expression" dxfId="0" priority="562">
      <x:formula>$B10="土"</x:formula>
    </x:cfRule>
    <x:cfRule type="expression" dxfId="0" priority="563">
      <x:formula>$B10="日"</x:formula>
    </x:cfRule>
  </x:conditionalFormatting>
  <x:conditionalFormatting sqref="B10:B19 B21:B22 B24:B40 H31:H32 I34:I34">
    <x:cfRule type="timePeriod" dxfId="1" priority="564" timePeriod="lastMonth">
      <x:formula>AND(MONTH(B10)=MONTH(EDATE(TODAY(),0-1)),YEAR(B10)=YEAR(EDATE(TODAY(),0-1)))</x:formula>
    </x:cfRule>
  </x:conditionalFormatting>
  <x:conditionalFormatting sqref="C10:C10 J10:J10">
    <x:cfRule type="expression" dxfId="0" priority="428">
      <x:formula>$B10="土"</x:formula>
    </x:cfRule>
    <x:cfRule type="expression" dxfId="0" priority="429">
      <x:formula>$B10="日"</x:formula>
    </x:cfRule>
  </x:conditionalFormatting>
  <x:conditionalFormatting sqref="C11:C11 J11:J11">
    <x:cfRule type="expression" dxfId="0" priority="545">
      <x:formula>$B11="土"</x:formula>
    </x:cfRule>
    <x:cfRule type="expression" dxfId="0" priority="546">
      <x:formula>$B11="日"</x:formula>
    </x:cfRule>
  </x:conditionalFormatting>
  <x:conditionalFormatting sqref="H14:J14 J16:J16 I12:J13">
    <x:cfRule type="expression" dxfId="0" priority="548">
      <x:formula>$B12="土"</x:formula>
    </x:cfRule>
    <x:cfRule type="expression" dxfId="0" priority="549">
      <x:formula>$B12="日"</x:formula>
    </x:cfRule>
    <x:cfRule type="timePeriod" dxfId="1" priority="550" timePeriod="lastMonth">
      <x:formula>AND(MONTH(H12)=MONTH(EDATE(TODAY(),0-1)),YEAR(H12)=YEAR(EDATE(TODAY(),0-1)))</x:formula>
    </x:cfRule>
  </x:conditionalFormatting>
  <x:conditionalFormatting sqref="H21:H21 J18:J19 J21:J22">
    <x:cfRule type="expression" dxfId="0" priority="475">
      <x:formula>$B18="土"</x:formula>
    </x:cfRule>
    <x:cfRule type="expression" dxfId="0" priority="476">
      <x:formula>$B18="日"</x:formula>
    </x:cfRule>
    <x:cfRule type="timePeriod" dxfId="1" priority="477" timePeriod="lastMonth">
      <x:formula>AND(MONTH(H18)=MONTH(EDATE(TODAY(),0-1)),YEAR(H18)=YEAR(EDATE(TODAY(),0-1)))</x:formula>
    </x:cfRule>
  </x:conditionalFormatting>
  <x:conditionalFormatting sqref="K18:K19 K22:K22">
    <x:cfRule type="timePeriod" dxfId="1" priority="473" timePeriod="lastMonth">
      <x:formula>AND(MONTH(K18)=MONTH(EDATE(TODAY(),0-1)),YEAR(K18)=YEAR(EDATE(TODAY(),0-1)))</x:formula>
    </x:cfRule>
    <x:cfRule type="expression" dxfId="3" priority="474">
      <x:formula>WEEKDAY(K$10)=L$4</x:formula>
    </x:cfRule>
  </x:conditionalFormatting>
  <x:conditionalFormatting sqref="D22:E23">
    <x:cfRule type="timePeriod" dxfId="1" priority="179" timePeriod="lastMonth">
      <x:formula>AND(MONTH(D22)=MONTH(EDATE(TODAY(),0-1)),YEAR(D22)=YEAR(EDATE(TODAY(),0-1)))</x:formula>
    </x:cfRule>
    <x:cfRule type="expression" dxfId="0" priority="180">
      <x:formula>$B22="土"</x:formula>
    </x:cfRule>
    <x:cfRule type="expression" dxfId="0" priority="181">
      <x:formula>$B22="日"</x:formula>
    </x:cfRule>
  </x:conditionalFormatting>
  <x:conditionalFormatting sqref="C24:F25">
    <x:cfRule type="timePeriod" dxfId="1" priority="156" timePeriod="lastMonth">
      <x:formula>AND(MONTH(C24)=MONTH(EDATE(TODAY(),0-1)),YEAR(C24)=YEAR(EDATE(TODAY(),0-1)))</x:formula>
    </x:cfRule>
    <x:cfRule type="expression" dxfId="0" priority="157">
      <x:formula>$B24="土"</x:formula>
    </x:cfRule>
    <x:cfRule type="expression" dxfId="0" priority="158">
      <x:formula>$B24="日"</x:formula>
    </x:cfRule>
  </x:conditionalFormatting>
  <x:conditionalFormatting sqref="A30:B31 B27:B29 A39:B40 H31:H32">
    <x:cfRule type="expression" dxfId="0" priority="556">
      <x:formula>$B27="土"</x:formula>
    </x:cfRule>
    <x:cfRule type="expression" dxfId="0" priority="557">
      <x:formula>$B27="日"</x:formula>
    </x:cfRule>
  </x:conditionalFormatting>
  <x:conditionalFormatting sqref="A32:B33">
    <x:cfRule type="expression" dxfId="0" priority="558">
      <x:formula>$B32="土"</x:formula>
    </x:cfRule>
    <x:cfRule type="expression" dxfId="0" priority="559">
      <x:formula>$B32="日"</x:formula>
    </x:cfRule>
  </x:conditionalFormatting>
  <x:conditionalFormatting sqref="C32:F33 F34:F37">
    <x:cfRule type="timePeriod" dxfId="1" priority="470" timePeriod="lastMonth">
      <x:formula>AND(MONTH(C32)=MONTH(EDATE(TODAY(),0-1)),YEAR(C32)=YEAR(EDATE(TODAY(),0-1)))</x:formula>
    </x:cfRule>
    <x:cfRule type="expression" dxfId="0" priority="471">
      <x:formula>$B32="土"</x:formula>
    </x:cfRule>
    <x:cfRule type="expression" dxfId="0" priority="472">
      <x:formula>$B32="日"</x:formula>
    </x:cfRule>
  </x:conditionalFormatting>
  <x:conditionalFormatting sqref="A34:B38">
    <x:cfRule type="expression" dxfId="0" priority="554">
      <x:formula>$B34="土"</x:formula>
    </x:cfRule>
    <x:cfRule type="expression" dxfId="0" priority="555">
      <x:formula>$B34="日"</x:formula>
    </x:cfRule>
  </x:conditionalFormatting>
  <x:conditionalFormatting sqref="C39:E40">
    <x:cfRule type="timePeriod" dxfId="1" priority="457" timePeriod="lastMonth">
      <x:formula>AND(MONTH(C39)=MONTH(EDATE(TODAY(),0-1)),YEAR(C39)=YEAR(EDATE(TODAY(),0-1)))</x:formula>
    </x:cfRule>
    <x:cfRule type="expression" dxfId="0" priority="458">
      <x:formula>$B39="土"</x:formula>
    </x:cfRule>
    <x:cfRule type="expression" dxfId="0" priority="459">
      <x:formula>$B39="日"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8888931274414" defaultRowHeight="14.399999618530273"/>
  <x:cols>
    <x:col min="1" max="1" width="17.88888931274414" customWidth="1"/>
    <x:col min="2" max="2" width="5.44444465637207" customWidth="1"/>
    <x:col min="3" max="8" width="10.11111068725586" customWidth="1"/>
    <x:col min="9" max="9" width="52.44444274902344" customWidth="1"/>
    <x:col min="10" max="11" width="14.88888931274414" customWidth="1"/>
  </x:cols>
  <x:sheetData>
    <x:row r="3">
      <x:c r="A3" t="s">
        <x:v>27</x:v>
      </x:c>
      <x:c r="B3">
        <x:v>7</x:v>
      </x:c>
    </x:row>
    <x:row r="5">
      <x:c r="A5">
        <x:v>2026</x:v>
      </x:c>
      <x:c r="B5">
        <x:v>9</x:v>
      </x:c>
    </x:row>
    <x:row r="6">
      <x:c r="F6" s="1"/>
    </x:row>
    <x:row r="7">
      <x:c r="A7" s="2"/>
      <x:c r="B7" s="2"/>
      <x:c r="C7" s="3" t="s">
        <x:v>10</x:v>
      </x:c>
      <x:c r="D7" s="3" t="s">
        <x:v>11</x:v>
      </x:c>
      <x:c r="E7" s="3" t="s">
        <x:v>12</x:v>
      </x:c>
      <x:c r="F7" s="3" t="s">
        <x:v>13</x:v>
      </x:c>
      <x:c r="G7" s="3" t="s">
        <x:v>14</x:v>
      </x:c>
      <x:c r="H7" s="3" t="s">
        <x:v>15</x:v>
      </x:c>
      <x:c r="I7" s="3" t="s">
        <x:v>16</x:v>
      </x:c>
      <x:c r="J7" s="3" t="s">
        <x:v>17</x:v>
      </x:c>
      <x:c r="K7" s="3" t="s">
        <x:v>18</x:v>
      </x:c>
      <x:c r="L7" s="24"/>
    </x:row>
    <x:row r="8">
      <x:c r="A8" s="119" t="n">
        <x:f>IF(ROW()-7&lt;=DAY(DATE($A$5,$B$5+1,0)),DATE($A$5,$B$5,ROW()-7),"")</x:f>
        <x:v>46266</x:v>
      </x:c>
      <x:c r="B8" s="104" t="str">
        <x:f t="shared" ref="B8:B37" si="0">IF(A8="","",TEXT(A8,"ddd"))</x:f>
        <x:v>Tue</x:v>
      </x:c>
      <x:c r="C8" s="105">
        <x:v>0.333333333333333</x:v>
      </x:c>
      <x:c r="D8" s="105">
        <x:v>0.708333333333333</x:v>
      </x:c>
      <x:c r="E8" s="105">
        <x:v>0.0416666666666667</x:v>
      </x:c>
      <x:c r="F8" s="115" t="n">
        <x:f>D8-C8-E8</x:f>
        <x:v>0.33333333333333337</x:v>
      </x:c>
      <x:c r="G8" s="105" t="n">
        <x:f t="shared" ref="G8:G14" si="1">D8-C8-E8</x:f>
        <x:v>0.33333333333333337</x:v>
      </x:c>
      <x:c r="H8" s="106" t="s">
        <x:v>28</x:v>
      </x:c>
      <x:c r="I8" s="107" t="s">
        <x:v>29</x:v>
      </x:c>
      <x:c r="J8" s="106"/>
      <x:c r="K8" s="106"/>
    </x:row>
    <x:row r="9">
      <x:c r="A9" s="119" t="n">
        <x:f t="shared" ref="A9:A37" si="2">IF(ROW()-7&lt;=DAY(DATE($A$5,$B$5+1,0)),DATE($A$5,$B$5,ROW()-7),"")</x:f>
        <x:v>46267</x:v>
      </x:c>
      <x:c r="B9" s="104" t="str">
        <x:f t="shared" si="0">IF(A9="","",TEXT(A9,"ddd"))</x:f>
        <x:v>Wed</x:v>
      </x:c>
      <x:c r="C9" s="105">
        <x:v>0.333333333333333</x:v>
      </x:c>
      <x:c r="D9" s="105">
        <x:v>0.708333333333333</x:v>
      </x:c>
      <x:c r="E9" s="105">
        <x:v>0.0416666666666667</x:v>
      </x:c>
      <x:c r="F9" s="115" t="n">
        <x:f t="shared" ref="F9:F37" si="3">D9-C9-E9</x:f>
        <x:v>0.33333333333333337</x:v>
      </x:c>
      <x:c r="G9" s="105" t="n">
        <x:f>D9-C9-E9</x:f>
        <x:v>0.33333333333333337</x:v>
      </x:c>
      <x:c r="H9" s="106"/>
      <x:c r="I9" s="107"/>
      <x:c r="J9" s="106"/>
      <x:c r="K9" s="106"/>
    </x:row>
    <x:row r="10">
      <x:c r="A10" s="119" t="n">
        <x:f t="shared" si="2">IF(ROW()-7&lt;=DAY(DATE($A$5,$B$5+1,0)),DATE($A$5,$B$5,ROW()-7),"")</x:f>
        <x:v>46268</x:v>
      </x:c>
      <x:c r="B10" s="104" t="str">
        <x:f t="shared" si="0">IF(A10="","",TEXT(A10,"ddd"))</x:f>
        <x:v>Thu</x:v>
      </x:c>
      <x:c r="C10" s="108">
        <x:v>0.333333333333333</x:v>
      </x:c>
      <x:c r="D10" s="108">
        <x:v>0.708333333333333</x:v>
      </x:c>
      <x:c r="E10" s="108">
        <x:v>0.0416666666666667</x:v>
      </x:c>
      <x:c r="F10" s="116">
        <x:f t="shared" si="3"/>
        <x:v>0.333333333333333</x:v>
      </x:c>
      <x:c r="G10" s="108" t="n">
        <x:f>D10-C10-E10</x:f>
        <x:v>0.33333333333333337</x:v>
      </x:c>
      <x:c r="H10" s="104" t="s">
        <x:v>28</x:v>
      </x:c>
      <x:c r="I10" s="109" t="s">
        <x:v>29</x:v>
      </x:c>
      <x:c r="J10" s="108"/>
      <x:c r="K10" s="104"/>
    </x:row>
    <x:row r="11">
      <x:c r="A11" s="119" t="n">
        <x:f t="shared" si="2">IF(ROW()-7&lt;=DAY(DATE($A$5,$B$5+1,0)),DATE($A$5,$B$5,ROW()-7),"")</x:f>
        <x:v>46269</x:v>
      </x:c>
      <x:c r="B11" s="104" t="str">
        <x:f t="shared" si="0">IF(A11="","",TEXT(A11,"ddd"))</x:f>
        <x:v>Fri</x:v>
      </x:c>
      <x:c r="C11" s="108">
        <x:v>0.333333333333333</x:v>
      </x:c>
      <x:c r="D11" s="108">
        <x:v>0.833333333333333</x:v>
      </x:c>
      <x:c r="E11" s="108">
        <x:v>0.0833333333333333</x:v>
      </x:c>
      <x:c r="F11" s="116">
        <x:f t="shared" si="3"/>
        <x:v>0.416666666666667</x:v>
      </x:c>
      <x:c r="G11" s="108" t="n">
        <x:f>D11-C11-E11</x:f>
        <x:v>0.4166666666666667</x:v>
      </x:c>
      <x:c r="H11" s="104" t="s">
        <x:v>28</x:v>
      </x:c>
      <x:c r="I11" s="109" t="s">
        <x:v>29</x:v>
      </x:c>
      <x:c r="J11" s="108"/>
      <x:c r="K11" s="104"/>
    </x:row>
    <x:row r="12">
      <x:c r="A12" s="120" t="n">
        <x:f t="shared" si="2">IF(ROW()-7&lt;=DAY(DATE($A$5,$B$5+1,0)),DATE($A$5,$B$5,ROW()-7),"")</x:f>
        <x:v>46270</x:v>
      </x:c>
      <x:c r="B12" s="111" t="str">
        <x:f t="shared" si="0">IF(A12="","",TEXT(A12,"ddd"))</x:f>
        <x:v>Sat</x:v>
      </x:c>
      <x:c r="C12" s="112">
        <x:v>0.333333333333333</x:v>
      </x:c>
      <x:c r="D12" s="112">
        <x:v>0.708333333333333</x:v>
      </x:c>
      <x:c r="E12" s="112">
        <x:v>0.0416666666666667</x:v>
      </x:c>
      <x:c r="F12" s="116" t="n">
        <x:f>D12-C12-E12</x:f>
        <x:v>0.33333333333333337</x:v>
      </x:c>
      <x:c r="G12" s="112">
        <x:f t="shared" si="1"/>
        <x:v>0.333333333333333</x:v>
      </x:c>
      <x:c r="H12" s="111" t="s">
        <x:v>30</x:v>
      </x:c>
      <x:c r="I12" s="109" t="s">
        <x:v>38</x:v>
      </x:c>
      <x:c r="J12" s="112"/>
      <x:c r="K12" s="111"/>
    </x:row>
    <x:row r="13">
      <x:c r="A13" s="119" t="n">
        <x:f t="shared" si="2">IF(ROW()-7&lt;=DAY(DATE($A$5,$B$5+1,0)),DATE($A$5,$B$5,ROW()-7),"")</x:f>
        <x:v>46271</x:v>
      </x:c>
      <x:c r="B13" s="104" t="str">
        <x:f t="shared" si="0">IF(A13="","",TEXT(A13,"ddd"))</x:f>
        <x:v>Sun</x:v>
      </x:c>
      <x:c r="C13" s="105">
        <x:v>0.333333333333333</x:v>
      </x:c>
      <x:c r="D13" s="105">
        <x:v>0.708333333333333</x:v>
      </x:c>
      <x:c r="E13" s="105">
        <x:v>0.0416666666666667</x:v>
      </x:c>
      <x:c r="F13" s="115">
        <x:f t="shared" si="3"/>
        <x:v>0.333333333333333</x:v>
      </x:c>
      <x:c r="G13" s="105">
        <x:f t="shared" si="1"/>
        <x:v>0.333333333333333</x:v>
      </x:c>
      <x:c r="H13" s="106" t="s">
        <x:v>20</x:v>
      </x:c>
      <x:c r="I13" s="107" t="s">
        <x:v>21</x:v>
      </x:c>
      <x:c r="J13" s="105"/>
      <x:c r="K13" s="106"/>
      <x:c r="L13" s="31"/>
    </x:row>
    <x:row r="14">
      <x:c r="A14" s="119" t="n">
        <x:f t="shared" si="2">IF(ROW()-7&lt;=DAY(DATE($A$5,$B$5+1,0)),DATE($A$5,$B$5,ROW()-7),"")</x:f>
        <x:v>46272</x:v>
      </x:c>
      <x:c r="B14" s="104" t="str">
        <x:f t="shared" si="0">IF(A14="","",TEXT(A14,"ddd"))</x:f>
        <x:v>Mon</x:v>
      </x:c>
      <x:c r="C14" s="108">
        <x:v>0.333333333333333</x:v>
      </x:c>
      <x:c r="D14" s="108">
        <x:v>0.875</x:v>
      </x:c>
      <x:c r="E14" s="108">
        <x:v>0.0833333333333333</x:v>
      </x:c>
      <x:c r="F14" s="116">
        <x:f t="shared" si="3"/>
        <x:v>0.458333333333334</x:v>
      </x:c>
      <x:c r="G14" s="108">
        <x:f t="shared" si="1"/>
        <x:v>0.458333333333334</x:v>
      </x:c>
      <x:c r="H14" s="104" t="s">
        <x:v>30</x:v>
      </x:c>
      <x:c r="I14" s="109" t="s">
        <x:v>38</x:v>
      </x:c>
      <x:c r="J14" s="108"/>
      <x:c r="K14" s="113"/>
      <x:c r="L14" s="31"/>
    </x:row>
    <x:row r="15">
      <x:c r="A15" s="119" t="n">
        <x:f t="shared" si="2">IF(ROW()-7&lt;=DAY(DATE($A$5,$B$5+1,0)),DATE($A$5,$B$5,ROW()-7),"")</x:f>
        <x:v>46273</x:v>
      </x:c>
      <x:c r="B15" s="104" t="str">
        <x:f t="shared" si="0">IF(A15="","",TEXT(A15,"ddd"))</x:f>
        <x:v>Tue</x:v>
      </x:c>
      <x:c r="C15" s="108">
        <x:v>0.333333333333333</x:v>
      </x:c>
      <x:c r="D15" s="108">
        <x:v>0.708333333333333</x:v>
      </x:c>
      <x:c r="E15" s="108">
        <x:v>0.0416666666666667</x:v>
      </x:c>
      <x:c r="F15" s="116">
        <x:f t="shared" si="3"/>
        <x:v>0.333333333333333</x:v>
      </x:c>
      <x:c r="G15" s="108" t="n">
        <x:f>D15-C15-E15</x:f>
        <x:v>0.33333333333333337</x:v>
      </x:c>
      <x:c r="H15" s="104" t="s">
        <x:v>30</x:v>
      </x:c>
      <x:c r="I15" s="109" t="s">
        <x:v>38</x:v>
      </x:c>
      <x:c r="J15" s="104"/>
      <x:c r="K15" s="113"/>
      <x:c r="L15" s="31"/>
    </x:row>
    <x:row r="16">
      <x:c r="A16" s="119" t="n">
        <x:f t="shared" si="2">IF(ROW()-7&lt;=DAY(DATE($A$5,$B$5+1,0)),DATE($A$5,$B$5,ROW()-7),"")</x:f>
        <x:v>46274</x:v>
      </x:c>
      <x:c r="B16" s="104" t="str">
        <x:f t="shared" si="0">IF(A16="","",TEXT(A16,"ddd"))</x:f>
        <x:v>Wed</x:v>
      </x:c>
      <x:c r="C16" s="108">
        <x:v>0.333333333333333</x:v>
      </x:c>
      <x:c r="D16" s="108">
        <x:v>0.708333333333333</x:v>
      </x:c>
      <x:c r="E16" s="108">
        <x:v>0.0416666666666667</x:v>
      </x:c>
      <x:c r="F16" s="116">
        <x:f t="shared" si="3"/>
        <x:v>0.333333333333333</x:v>
      </x:c>
      <x:c r="G16" s="108" t="n">
        <x:f>D16-C16-E16</x:f>
        <x:v>0.33333333333333337</x:v>
      </x:c>
      <x:c r="H16" s="104" t="s">
        <x:v>28</x:v>
      </x:c>
      <x:c r="I16" s="109" t="s">
        <x:v>29</x:v>
      </x:c>
      <x:c r="J16" s="108"/>
      <x:c r="K16" s="104"/>
      <x:c r="L16" s="31"/>
    </x:row>
    <x:row r="17">
      <x:c r="A17" s="119" t="n">
        <x:f t="shared" si="2">IF(ROW()-7&lt;=DAY(DATE($A$5,$B$5+1,0)),DATE($A$5,$B$5,ROW()-7),"")</x:f>
        <x:v>46275</x:v>
      </x:c>
      <x:c r="B17" s="104" t="str">
        <x:f t="shared" si="0">IF(A17="","",TEXT(A17,"ddd"))</x:f>
        <x:v>Thu</x:v>
      </x:c>
      <x:c r="C17" s="108">
        <x:v>0.333333333333333</x:v>
      </x:c>
      <x:c r="D17" s="108">
        <x:v>0.708333333333333</x:v>
      </x:c>
      <x:c r="E17" s="108">
        <x:v>0.0416666666666667</x:v>
      </x:c>
      <x:c r="F17" s="116">
        <x:f t="shared" si="3"/>
        <x:v>0.333333333333333</x:v>
      </x:c>
      <x:c r="G17" s="108" t="n">
        <x:f>D17-C17-E17</x:f>
        <x:v>0.33333333333333337</x:v>
      </x:c>
      <x:c r="H17" s="104" t="s">
        <x:v>28</x:v>
      </x:c>
      <x:c r="I17" s="109" t="s">
        <x:v>29</x:v>
      </x:c>
      <x:c r="J17" s="108"/>
      <x:c r="K17" s="104"/>
      <x:c r="L17" s="31"/>
    </x:row>
    <x:row r="18">
      <x:c r="A18" s="119" t="n">
        <x:f t="shared" si="2">IF(ROW()-7&lt;=DAY(DATE($A$5,$B$5+1,0)),DATE($A$5,$B$5,ROW()-7),"")</x:f>
        <x:v>46276</x:v>
      </x:c>
      <x:c r="B18" s="104" t="str">
        <x:f t="shared" si="0">IF(A18="","",TEXT(A18,"ddd"))</x:f>
        <x:v>Fri</x:v>
      </x:c>
      <x:c r="C18" s="108">
        <x:v>0.333333333333333</x:v>
      </x:c>
      <x:c r="D18" s="108">
        <x:v>0.708333333333333</x:v>
      </x:c>
      <x:c r="E18" s="108">
        <x:v>0.0416666666666667</x:v>
      </x:c>
      <x:c r="F18" s="116">
        <x:f t="shared" si="3"/>
        <x:v>0.333333333333333</x:v>
      </x:c>
      <x:c r="G18" s="108" t="n">
        <x:f>D18-C18-E18</x:f>
        <x:v>0.33333333333333337</x:v>
      </x:c>
      <x:c r="H18" s="104" t="s">
        <x:v>30</x:v>
      </x:c>
      <x:c r="I18" s="109" t="s">
        <x:v>38</x:v>
      </x:c>
      <x:c r="J18" s="108"/>
      <x:c r="K18" s="104"/>
      <x:c r="L18" s="31"/>
    </x:row>
    <x:row r="19">
      <x:c r="A19" s="119" t="n">
        <x:f t="shared" si="2">IF(ROW()-7&lt;=DAY(DATE($A$5,$B$5+1,0)),DATE($A$5,$B$5,ROW()-7),"")</x:f>
        <x:v>46277</x:v>
      </x:c>
      <x:c r="B19" s="104" t="str">
        <x:f t="shared" si="0">IF(A19="","",TEXT(A19,"ddd"))</x:f>
        <x:v>Sat</x:v>
      </x:c>
      <x:c r="C19" s="105">
        <x:v>0.333333333333333</x:v>
      </x:c>
      <x:c r="D19" s="105">
        <x:v>0.708333333333333</x:v>
      </x:c>
      <x:c r="E19" s="105">
        <x:v>0.0416666666666667</x:v>
      </x:c>
      <x:c r="F19" s="115">
        <x:f t="shared" si="3"/>
        <x:v>0.333333333333333</x:v>
      </x:c>
      <x:c r="G19" s="105" t="n">
        <x:f t="shared" ref="G19" si="4">D19-C19-E19</x:f>
        <x:v>0.33333333333333337</x:v>
      </x:c>
      <x:c r="H19" s="106" t="s">
        <x:v>36</x:v>
      </x:c>
      <x:c r="I19" s="107" t="s">
        <x:v>37</x:v>
      </x:c>
      <x:c r="J19" s="105"/>
      <x:c r="K19" s="106"/>
      <x:c r="L19" s="31"/>
    </x:row>
    <x:row r="20">
      <x:c r="A20" s="119" t="n">
        <x:f t="shared" si="2">IF(ROW()-7&lt;=DAY(DATE($A$5,$B$5+1,0)),DATE($A$5,$B$5,ROW()-7),"")</x:f>
        <x:v>46278</x:v>
      </x:c>
      <x:c r="B20" s="104" t="str">
        <x:f t="shared" si="0">IF(A20="","",TEXT(A20,"ddd"))</x:f>
        <x:v>Sun</x:v>
      </x:c>
      <x:c r="C20" s="105">
        <x:v>0.333333333333333</x:v>
      </x:c>
      <x:c r="D20" s="105">
        <x:v>0.708333333333333</x:v>
      </x:c>
      <x:c r="E20" s="105">
        <x:v>0.0416666666666667</x:v>
      </x:c>
      <x:c r="F20" s="115">
        <x:f t="shared" si="3"/>
        <x:v>0.333333333333333</x:v>
      </x:c>
      <x:c r="G20" s="105"/>
      <x:c r="H20" s="106"/>
      <x:c r="I20" s="107"/>
      <x:c r="J20" s="105"/>
      <x:c r="K20" s="106"/>
      <x:c r="L20" s="31"/>
    </x:row>
    <x:row r="21">
      <x:c r="A21" s="119" t="n">
        <x:f t="shared" si="2">IF(ROW()-7&lt;=DAY(DATE($A$5,$B$5+1,0)),DATE($A$5,$B$5,ROW()-7),"")</x:f>
        <x:v>46279</x:v>
      </x:c>
      <x:c r="B21" s="104" t="str">
        <x:f t="shared" si="0">IF(A21="","",TEXT(A21,"ddd"))</x:f>
        <x:v>Mon</x:v>
      </x:c>
      <x:c r="C21" s="108">
        <x:v>0.333333333333333</x:v>
      </x:c>
      <x:c r="D21" s="108">
        <x:v>0.833333333333333</x:v>
      </x:c>
      <x:c r="E21" s="108">
        <x:v>0.0833333333333333</x:v>
      </x:c>
      <x:c r="F21" s="116">
        <x:f t="shared" si="3"/>
        <x:v>0.416666666666667</x:v>
      </x:c>
      <x:c r="G21" s="108" t="n">
        <x:f>D21-C21-E21</x:f>
        <x:v>0.4166666666666667</x:v>
      </x:c>
      <x:c r="H21" s="104" t="s">
        <x:v>30</x:v>
      </x:c>
      <x:c r="I21" s="109" t="s">
        <x:v>38</x:v>
      </x:c>
      <x:c r="J21" s="108"/>
      <x:c r="K21" s="104"/>
      <x:c r="L21" s="31"/>
    </x:row>
    <x:row r="22">
      <x:c r="A22" s="119" t="n">
        <x:f t="shared" si="2">IF(ROW()-7&lt;=DAY(DATE($A$5,$B$5+1,0)),DATE($A$5,$B$5,ROW()-7),"")</x:f>
        <x:v>46280</x:v>
      </x:c>
      <x:c r="B22" s="104" t="str">
        <x:f t="shared" si="0">IF(A22="","",TEXT(A22,"ddd"))</x:f>
        <x:v>Tue</x:v>
      </x:c>
      <x:c r="C22" s="108">
        <x:v>0.333333333333333</x:v>
      </x:c>
      <x:c r="D22" s="108">
        <x:v>0.708333333333333</x:v>
      </x:c>
      <x:c r="E22" s="108">
        <x:v>0.0416666666666667</x:v>
      </x:c>
      <x:c r="F22" s="116">
        <x:f t="shared" si="3"/>
        <x:v>0.333333333333333</x:v>
      </x:c>
      <x:c r="G22" s="108" t="n">
        <x:f>D22-C22-E22</x:f>
        <x:v>0.33333333333333337</x:v>
      </x:c>
      <x:c r="H22" s="104" t="s">
        <x:v>30</x:v>
      </x:c>
      <x:c r="I22" s="109" t="s">
        <x:v>38</x:v>
      </x:c>
      <x:c r="J22" s="108"/>
      <x:c r="K22" s="104"/>
      <x:c r="L22" s="31"/>
    </x:row>
    <x:row r="23">
      <x:c r="A23" s="119" t="n">
        <x:f t="shared" si="2">IF(ROW()-7&lt;=DAY(DATE($A$5,$B$5+1,0)),DATE($A$5,$B$5,ROW()-7),"")</x:f>
        <x:v>46281</x:v>
      </x:c>
      <x:c r="B23" s="104" t="str">
        <x:f t="shared" si="0">IF(A23="","",TEXT(A23,"ddd"))</x:f>
        <x:v>Wed</x:v>
      </x:c>
      <x:c r="C23" s="108">
        <x:v>0.333333333333333</x:v>
      </x:c>
      <x:c r="D23" s="108">
        <x:v>0.708333333333333</x:v>
      </x:c>
      <x:c r="E23" s="108">
        <x:v>0.0416666666666667</x:v>
      </x:c>
      <x:c r="F23" s="116">
        <x:f t="shared" si="3"/>
        <x:v>0.333333333333333</x:v>
      </x:c>
      <x:c r="G23" s="108" t="n">
        <x:f>D23-C23-E23</x:f>
        <x:v>0.33333333333333337</x:v>
      </x:c>
      <x:c r="H23" s="104" t="s">
        <x:v>28</x:v>
      </x:c>
      <x:c r="I23" s="109" t="s">
        <x:v>29</x:v>
      </x:c>
      <x:c r="J23" s="108"/>
      <x:c r="K23" s="104"/>
      <x:c r="L23" s="31"/>
    </x:row>
    <x:row r="24">
      <x:c r="A24" s="119" t="n">
        <x:f t="shared" si="2">IF(ROW()-7&lt;=DAY(DATE($A$5,$B$5+1,0)),DATE($A$5,$B$5,ROW()-7),"")</x:f>
        <x:v>46282</x:v>
      </x:c>
      <x:c r="B24" s="104" t="str">
        <x:f t="shared" si="0">IF(A24="","",TEXT(A24,"ddd"))</x:f>
        <x:v>Thu</x:v>
      </x:c>
      <x:c r="C24" s="108">
        <x:v>0.333333333333333</x:v>
      </x:c>
      <x:c r="D24" s="108">
        <x:v>0.791666666666667</x:v>
      </x:c>
      <x:c r="E24" s="108">
        <x:v>0.0833333333333333</x:v>
      </x:c>
      <x:c r="F24" s="116">
        <x:f t="shared" si="3"/>
        <x:v>0.375</x:v>
      </x:c>
      <x:c r="G24" s="108" t="n">
        <x:f>D24-C24-E24</x:f>
        <x:v>0.37500000000000067</x:v>
      </x:c>
      <x:c r="H24" s="104" t="s">
        <x:v>28</x:v>
      </x:c>
      <x:c r="I24" s="109" t="s">
        <x:v>29</x:v>
      </x:c>
      <x:c r="J24" s="108"/>
      <x:c r="K24" s="104"/>
      <x:c r="L24" s="31"/>
    </x:row>
    <x:row r="25">
      <x:c r="A25" s="119" t="n">
        <x:f t="shared" si="2">IF(ROW()-7&lt;=DAY(DATE($A$5,$B$5+1,0)),DATE($A$5,$B$5,ROW()-7),"")</x:f>
        <x:v>46283</x:v>
      </x:c>
      <x:c r="B25" s="104" t="str">
        <x:f t="shared" si="0">IF(A25="","",TEXT(A25,"ddd"))</x:f>
        <x:v>Fri</x:v>
      </x:c>
      <x:c r="C25" s="108">
        <x:v>0.333333333333333</x:v>
      </x:c>
      <x:c r="D25" s="108">
        <x:v>0.791666666666667</x:v>
      </x:c>
      <x:c r="E25" s="108">
        <x:v>0.0833333333333333</x:v>
      </x:c>
      <x:c r="F25" s="116">
        <x:f t="shared" si="3"/>
        <x:v>0.375</x:v>
      </x:c>
      <x:c r="G25" s="108" t="n">
        <x:f t="shared" ref="G25:G28" si="5">D25-C25-E25</x:f>
        <x:v>0.37500000000000067</x:v>
      </x:c>
      <x:c r="H25" s="104" t="s">
        <x:v>28</x:v>
      </x:c>
      <x:c r="I25" s="109" t="s">
        <x:v>29</x:v>
      </x:c>
      <x:c r="J25" s="108"/>
      <x:c r="K25" s="104"/>
      <x:c r="L25" s="31"/>
    </x:row>
    <x:row r="26">
      <x:c r="A26" s="119" t="n">
        <x:f t="shared" si="2">IF(ROW()-7&lt;=DAY(DATE($A$5,$B$5+1,0)),DATE($A$5,$B$5,ROW()-7),"")</x:f>
        <x:v>46284</x:v>
      </x:c>
      <x:c r="B26" s="104" t="str">
        <x:f t="shared" si="0">IF(A26="","",TEXT(A26,"ddd"))</x:f>
        <x:v>Sat</x:v>
      </x:c>
      <x:c r="C26" s="105">
        <x:v>0.333333333333333</x:v>
      </x:c>
      <x:c r="D26" s="105">
        <x:v>0.708333333333333</x:v>
      </x:c>
      <x:c r="E26" s="105">
        <x:v>0.0416666666666667</x:v>
      </x:c>
      <x:c r="F26" s="115">
        <x:f t="shared" si="3"/>
        <x:v>0.333333333333333</x:v>
      </x:c>
      <x:c r="G26" s="105">
        <x:f t="shared" si="5"/>
        <x:v>0.333333333333333</x:v>
      </x:c>
      <x:c r="H26" s="106" t="s">
        <x:v>28</x:v>
      </x:c>
      <x:c r="I26" s="107" t="s">
        <x:v>29</x:v>
      </x:c>
      <x:c r="J26" s="105"/>
      <x:c r="K26" s="106"/>
      <x:c r="L26" s="31"/>
    </x:row>
    <x:row r="27">
      <x:c r="A27" s="119" t="n">
        <x:f t="shared" si="2">IF(ROW()-7&lt;=DAY(DATE($A$5,$B$5+1,0)),DATE($A$5,$B$5,ROW()-7),"")</x:f>
        <x:v>46285</x:v>
      </x:c>
      <x:c r="B27" s="104" t="str">
        <x:f t="shared" si="0">IF(A27="","",TEXT(A27,"ddd"))</x:f>
        <x:v>Sun</x:v>
      </x:c>
      <x:c r="C27" s="105">
        <x:v>0.333333333333333</x:v>
      </x:c>
      <x:c r="D27" s="105">
        <x:v>0.708333333333333</x:v>
      </x:c>
      <x:c r="E27" s="105">
        <x:v>0.0416666666666667</x:v>
      </x:c>
      <x:c r="F27" s="115">
        <x:f t="shared" si="3"/>
        <x:v>0.333333333333333</x:v>
      </x:c>
      <x:c r="G27" s="105">
        <x:f t="shared" si="5"/>
        <x:v>0.333333333333333</x:v>
      </x:c>
      <x:c r="H27" s="106" t="s">
        <x:v>28</x:v>
      </x:c>
      <x:c r="I27" s="107" t="s">
        <x:v>29</x:v>
      </x:c>
      <x:c r="J27" s="105"/>
      <x:c r="K27" s="106"/>
      <x:c r="L27" s="31"/>
    </x:row>
    <x:row r="28">
      <x:c r="A28" s="119" t="n">
        <x:f t="shared" si="2">IF(ROW()-7&lt;=DAY(DATE($A$5,$B$5+1,0)),DATE($A$5,$B$5,ROW()-7),"")</x:f>
        <x:v>46286</x:v>
      </x:c>
      <x:c r="B28" s="104" t="str">
        <x:f t="shared" si="0">IF(A28="","",TEXT(A28,"ddd"))</x:f>
        <x:v>Mon</x:v>
      </x:c>
      <x:c r="C28" s="108">
        <x:v>0.333333333333333</x:v>
      </x:c>
      <x:c r="D28" s="108">
        <x:v>0.708333333333333</x:v>
      </x:c>
      <x:c r="E28" s="108">
        <x:v>0.0416666666666667</x:v>
      </x:c>
      <x:c r="F28" s="116">
        <x:f t="shared" si="3"/>
        <x:v>0.333333333333333</x:v>
      </x:c>
      <x:c r="G28" s="108">
        <x:f t="shared" si="5"/>
        <x:v>0.333333333333333</x:v>
      </x:c>
      <x:c r="H28" s="104" t="s">
        <x:v>28</x:v>
      </x:c>
      <x:c r="I28" s="109" t="s">
        <x:v>29</x:v>
      </x:c>
      <x:c r="J28" s="108"/>
      <x:c r="K28" s="104"/>
      <x:c r="L28" s="31"/>
    </x:row>
    <x:row r="29">
      <x:c r="A29" s="119" t="n">
        <x:f t="shared" si="2">IF(ROW()-7&lt;=DAY(DATE($A$5,$B$5+1,0)),DATE($A$5,$B$5,ROW()-7),"")</x:f>
        <x:v>46287</x:v>
      </x:c>
      <x:c r="B29" s="104" t="str">
        <x:f t="shared" si="0">IF(A29="","",TEXT(A29,"ddd"))</x:f>
        <x:v>Tue</x:v>
      </x:c>
      <x:c r="C29" s="108">
        <x:v>0.333333333333333</x:v>
      </x:c>
      <x:c r="D29" s="108">
        <x:v>0.708333333333333</x:v>
      </x:c>
      <x:c r="E29" s="108">
        <x:v>0.0416666666666667</x:v>
      </x:c>
      <x:c r="F29" s="116">
        <x:f t="shared" si="3"/>
        <x:v>0.333333333333333</x:v>
      </x:c>
      <x:c r="G29" s="108" t="n">
        <x:f>D29-C29-E29</x:f>
        <x:v>0.33333333333333337</x:v>
      </x:c>
      <x:c r="H29" s="104" t="s">
        <x:v>39</x:v>
      </x:c>
      <x:c r="I29" s="109" t="s">
        <x:v>40</x:v>
      </x:c>
      <x:c r="J29" s="108"/>
      <x:c r="K29" s="104"/>
      <x:c r="L29" s="31"/>
    </x:row>
    <x:row r="30">
      <x:c r="A30" s="119" t="n">
        <x:f t="shared" si="2">IF(ROW()-7&lt;=DAY(DATE($A$5,$B$5+1,0)),DATE($A$5,$B$5,ROW()-7),"")</x:f>
        <x:v>46288</x:v>
      </x:c>
      <x:c r="B30" s="104" t="str">
        <x:f t="shared" si="0">IF(A30="","",TEXT(A30,"ddd"))</x:f>
        <x:v>Wed</x:v>
      </x:c>
      <x:c r="C30" s="108">
        <x:v>0.333333333333333</x:v>
      </x:c>
      <x:c r="D30" s="108">
        <x:v>0.791666666666667</x:v>
      </x:c>
      <x:c r="E30" s="108">
        <x:v>0.0833333333333333</x:v>
      </x:c>
      <x:c r="F30" s="116">
        <x:f t="shared" si="3"/>
        <x:v>0.375</x:v>
      </x:c>
      <x:c r="G30" s="108" t="n">
        <x:f>D30-C30-E30</x:f>
        <x:v>0.37500000000000067</x:v>
      </x:c>
      <x:c r="H30" s="104" t="s">
        <x:v>39</x:v>
      </x:c>
      <x:c r="I30" s="109" t="s">
        <x:v>40</x:v>
      </x:c>
      <x:c r="J30" s="108"/>
      <x:c r="K30" s="104"/>
      <x:c r="L30" s="31"/>
    </x:row>
    <x:row r="31">
      <x:c r="A31" s="119" t="n">
        <x:f t="shared" si="2">IF(ROW()-7&lt;=DAY(DATE($A$5,$B$5+1,0)),DATE($A$5,$B$5,ROW()-7),"")</x:f>
        <x:v>46289</x:v>
      </x:c>
      <x:c r="B31" s="104" t="str">
        <x:f t="shared" si="0">IF(A31="","",TEXT(A31,"ddd"))</x:f>
        <x:v>Thu</x:v>
      </x:c>
      <x:c r="C31" s="108">
        <x:v>0.333333333333333</x:v>
      </x:c>
      <x:c r="D31" s="108">
        <x:v>0.708333333333333</x:v>
      </x:c>
      <x:c r="E31" s="108">
        <x:v>0.0416666666666667</x:v>
      </x:c>
      <x:c r="F31" s="116">
        <x:f t="shared" si="3"/>
        <x:v>0.333333333333333</x:v>
      </x:c>
      <x:c r="G31" s="108" t="n">
        <x:f t="shared" ref="G31:G35" si="6">D31-C31-E31</x:f>
        <x:v>0.33333333333333337</x:v>
      </x:c>
      <x:c r="H31" s="104" t="s">
        <x:v>39</x:v>
      </x:c>
      <x:c r="I31" s="109" t="s">
        <x:v>40</x:v>
      </x:c>
      <x:c r="J31" s="108"/>
      <x:c r="K31" s="104"/>
      <x:c r="L31" s="31"/>
    </x:row>
    <x:row r="32">
      <x:c r="A32" s="119" t="n">
        <x:f t="shared" si="2">IF(ROW()-7&lt;=DAY(DATE($A$5,$B$5+1,0)),DATE($A$5,$B$5,ROW()-7),"")</x:f>
        <x:v>46290</x:v>
      </x:c>
      <x:c r="B32" s="104" t="str">
        <x:f t="shared" si="0">IF(A32="","",TEXT(A32,"ddd"))</x:f>
        <x:v>Fri</x:v>
      </x:c>
      <x:c r="C32" s="108">
        <x:v>0.333333333333333</x:v>
      </x:c>
      <x:c r="D32" s="108">
        <x:v>0.875</x:v>
      </x:c>
      <x:c r="E32" s="108">
        <x:v>0.0833333333333333</x:v>
      </x:c>
      <x:c r="F32" s="116">
        <x:f t="shared" si="3"/>
        <x:v>0.458333333333334</x:v>
      </x:c>
      <x:c r="G32" s="108">
        <x:f t="shared" si="6"/>
        <x:v>0.458333333333334</x:v>
      </x:c>
      <x:c r="H32" s="104" t="s">
        <x:v>39</x:v>
      </x:c>
      <x:c r="I32" s="109" t="s">
        <x:v>40</x:v>
      </x:c>
      <x:c r="J32" s="108"/>
      <x:c r="K32" s="104"/>
      <x:c r="L32" s="31"/>
    </x:row>
    <x:row r="33">
      <x:c r="A33" s="119" t="n">
        <x:f t="shared" si="2">IF(ROW()-7&lt;=DAY(DATE($A$5,$B$5+1,0)),DATE($A$5,$B$5,ROW()-7),"")</x:f>
        <x:v>46291</x:v>
      </x:c>
      <x:c r="B33" s="104" t="str">
        <x:f t="shared" si="0">IF(A33="","",TEXT(A33,"ddd"))</x:f>
        <x:v>Sat</x:v>
      </x:c>
      <x:c r="C33" s="112">
        <x:v>0.333333333333333</x:v>
      </x:c>
      <x:c r="D33" s="112">
        <x:v>0.708333333333333</x:v>
      </x:c>
      <x:c r="E33" s="112">
        <x:v>0.0416666666666667</x:v>
      </x:c>
      <x:c r="F33" s="117">
        <x:f t="shared" si="3"/>
        <x:v>0.333333333333333</x:v>
      </x:c>
      <x:c r="G33" s="112">
        <x:f t="shared" si="6"/>
        <x:v>0.333333333333333</x:v>
      </x:c>
      <x:c r="H33" s="104" t="s">
        <x:v>39</x:v>
      </x:c>
      <x:c r="I33" s="109" t="s">
        <x:v>40</x:v>
      </x:c>
      <x:c r="J33" s="112"/>
      <x:c r="K33" s="111"/>
      <x:c r="L33" s="31"/>
    </x:row>
    <x:row r="34">
      <x:c r="A34" s="119" t="n">
        <x:f t="shared" si="2">IF(ROW()-7&lt;=DAY(DATE($A$5,$B$5+1,0)),DATE($A$5,$B$5,ROW()-7),"")</x:f>
        <x:v>46292</x:v>
      </x:c>
      <x:c r="B34" s="104" t="str">
        <x:f t="shared" si="0">IF(A34="","",TEXT(A34,"ddd"))</x:f>
        <x:v>Sun</x:v>
      </x:c>
      <x:c r="C34" s="105">
        <x:v>0.333333333333333</x:v>
      </x:c>
      <x:c r="D34" s="105">
        <x:v>0.708333333333333</x:v>
      </x:c>
      <x:c r="E34" s="105">
        <x:v>0.0416666666666667</x:v>
      </x:c>
      <x:c r="F34" s="115">
        <x:f t="shared" si="3"/>
        <x:v>0.333333333333333</x:v>
      </x:c>
      <x:c r="G34" s="105">
        <x:f t="shared" si="6"/>
        <x:v>0.333333333333333</x:v>
      </x:c>
      <x:c r="H34" s="106" t="s">
        <x:v>28</x:v>
      </x:c>
      <x:c r="I34" s="107" t="s">
        <x:v>29</x:v>
      </x:c>
      <x:c r="J34" s="105"/>
      <x:c r="K34" s="106"/>
      <x:c r="L34" s="31"/>
    </x:row>
    <x:row r="35">
      <x:c r="A35" s="119" t="n">
        <x:f t="shared" si="2">IF(ROW()-7&lt;=DAY(DATE($A$5,$B$5+1,0)),DATE($A$5,$B$5,ROW()-7),"")</x:f>
        <x:v>46293</x:v>
      </x:c>
      <x:c r="B35" s="104" t="str">
        <x:f t="shared" si="0">IF(A35="","",TEXT(A35,"ddd"))</x:f>
        <x:v>Mon</x:v>
      </x:c>
      <x:c r="C35" s="108">
        <x:v>0.333333333333333</x:v>
      </x:c>
      <x:c r="D35" s="108">
        <x:v>0.708333333333333</x:v>
      </x:c>
      <x:c r="E35" s="108">
        <x:v>0.0416666666666667</x:v>
      </x:c>
      <x:c r="F35" s="116">
        <x:f t="shared" si="3"/>
        <x:v>0.333333333333333</x:v>
      </x:c>
      <x:c r="G35" s="108">
        <x:f t="shared" si="6"/>
        <x:v>0.333333333333333</x:v>
      </x:c>
      <x:c r="H35" s="104" t="s">
        <x:v>39</x:v>
      </x:c>
      <x:c r="I35" s="109" t="s">
        <x:v>40</x:v>
      </x:c>
      <x:c r="J35" s="108"/>
      <x:c r="K35" s="104"/>
      <x:c r="L35" s="31"/>
    </x:row>
    <x:row r="36">
      <x:c r="A36" s="119" t="n">
        <x:f t="shared" si="2">IF(ROW()-7&lt;=DAY(DATE($A$5,$B$5+1,0)),DATE($A$5,$B$5,ROW()-7),"")</x:f>
        <x:v>46294</x:v>
      </x:c>
      <x:c r="B36" s="104" t="str">
        <x:f t="shared" si="0">IF(A36="","",TEXT(A36,"ddd"))</x:f>
        <x:v>Tue</x:v>
      </x:c>
      <x:c r="C36" s="108">
        <x:v>0.333333333333333</x:v>
      </x:c>
      <x:c r="D36" s="108">
        <x:v>0.708333333333333</x:v>
      </x:c>
      <x:c r="E36" s="108">
        <x:v>0.0416666666666667</x:v>
      </x:c>
      <x:c r="F36" s="116">
        <x:f t="shared" si="3"/>
        <x:v>0.333333333333333</x:v>
      </x:c>
      <x:c r="G36" s="108" t="n">
        <x:f>D36-C36-E36</x:f>
        <x:v>0.33333333333333337</x:v>
      </x:c>
      <x:c r="H36" s="104" t="s">
        <x:v>39</x:v>
      </x:c>
      <x:c r="I36" s="109" t="s">
        <x:v>40</x:v>
      </x:c>
      <x:c r="J36" s="108"/>
      <x:c r="K36" s="104"/>
      <x:c r="L36" s="31"/>
    </x:row>
    <x:row r="37">
      <x:c r="A37" s="119" t="n">
        <x:f t="shared" si="2">IF(ROW()-7&lt;=DAY(DATE($A$5,$B$5+1,0)),DATE($A$5,$B$5,ROW()-7),"")</x:f>
        <x:v>46295</x:v>
      </x:c>
      <x:c r="B37" s="104" t="str">
        <x:f t="shared" si="0">IF(A37="","",TEXT(A37,"ddd"))</x:f>
        <x:v>Wed</x:v>
      </x:c>
      <x:c r="C37" s="108">
        <x:v>0.333333333333333</x:v>
      </x:c>
      <x:c r="D37" s="108">
        <x:v>0.708333333333333</x:v>
      </x:c>
      <x:c r="E37" s="108">
        <x:v>0.0416666666666667</x:v>
      </x:c>
      <x:c r="F37" s="116">
        <x:f t="shared" si="3"/>
        <x:v>0.333333333333333</x:v>
      </x:c>
      <x:c r="G37" s="108" t="n">
        <x:f>D37-C37-E37</x:f>
        <x:v>0.33333333333333337</x:v>
      </x:c>
      <x:c r="H37" s="104" t="s">
        <x:v>39</x:v>
      </x:c>
      <x:c r="I37" s="109" t="s">
        <x:v>40</x:v>
      </x:c>
      <x:c r="J37" s="108"/>
      <x:c r="K37" s="104"/>
      <x:c r="L37" s="31"/>
    </x:row>
    <x:row r="38">
      <x:c r="A38" s="121" t="str">
        <x:f>IF(ROW()-7&lt;=DAY(DATE($A$5,$B$5+1,0)),DATE($A$5,$B$5,ROW()-7),"")</x:f>
      </x:c>
      <x:c r="B38" s="114" t="str">
        <x:f>IF(A38="","",TEXT(A38,"ddd"))</x:f>
      </x:c>
      <x:c r="C38" s="114"/>
      <x:c r="D38" s="114"/>
      <x:c r="E38" s="114"/>
      <x:c r="F38" s="118"/>
      <x:c r="G38" s="114"/>
      <x:c r="H38" s="114"/>
      <x:c r="I38" s="114"/>
      <x:c r="J38" s="114"/>
      <x:c r="K38" s="114"/>
    </x:row>
  </x:sheetData>
  <x:conditionalFormatting sqref="D8:D8">
    <x:cfRule type="expression" dxfId="0" priority="288">
      <x:formula>$B8="日"</x:formula>
    </x:cfRule>
    <x:cfRule type="expression" dxfId="0" priority="287">
      <x:formula>$B8="土"</x:formula>
    </x:cfRule>
    <x:cfRule type="timePeriod" dxfId="1" priority="286" timePeriod="lastMonth">
      <x:formula>AND(MONTH(D8)=MONTH(EDATE(TODAY(),0-1)),YEAR(D8)=YEAR(EDATE(TODAY(),0-1)))</x:formula>
    </x:cfRule>
  </x:conditionalFormatting>
  <x:conditionalFormatting sqref="E8:E8">
    <x:cfRule type="expression" dxfId="0" priority="608">
      <x:formula>$B8="日"</x:formula>
    </x:cfRule>
    <x:cfRule type="expression" dxfId="0" priority="607">
      <x:formula>$B8="土"</x:formula>
    </x:cfRule>
    <x:cfRule type="timePeriod" dxfId="1" priority="606" timePeriod="lastMonth">
      <x:formula>AND(MONTH(E8)=MONTH(EDATE(TODAY(),0-1)),YEAR(E8)=YEAR(EDATE(TODAY(),0-1)))</x:formula>
    </x:cfRule>
  </x:conditionalFormatting>
  <x:conditionalFormatting sqref="H8:H8">
    <x:cfRule type="timePeriod" dxfId="1" priority="520" timePeriod="lastMonth">
      <x:formula>AND(MONTH(H8)=MONTH(EDATE(TODAY(),0-1)),YEAR(H8)=YEAR(EDATE(TODAY(),0-1)))</x:formula>
    </x:cfRule>
    <x:cfRule type="expression" dxfId="0" priority="519">
      <x:formula>$B8="日"</x:formula>
    </x:cfRule>
    <x:cfRule type="expression" dxfId="0" priority="518">
      <x:formula>$B8="土"</x:formula>
    </x:cfRule>
  </x:conditionalFormatting>
  <x:conditionalFormatting sqref="I8:I8">
    <x:cfRule type="timePeriod" dxfId="1" priority="523" timePeriod="lastMonth">
      <x:formula>AND(MONTH(I8)=MONTH(EDATE(TODAY(),0-1)),YEAR(I8)=YEAR(EDATE(TODAY(),0-1)))</x:formula>
    </x:cfRule>
    <x:cfRule type="expression" dxfId="0" priority="522">
      <x:formula>$B8="日"</x:formula>
    </x:cfRule>
    <x:cfRule type="expression" dxfId="0" priority="521">
      <x:formula>$B8="土"</x:formula>
    </x:cfRule>
  </x:conditionalFormatting>
  <x:conditionalFormatting sqref="J8:J8">
    <x:cfRule type="timePeriod" dxfId="1" priority="605" timePeriod="lastMonth">
      <x:formula>AND(MONTH(J8)=MONTH(EDATE(TODAY(),0-1)),YEAR(J8)=YEAR(EDATE(TODAY(),0-1)))</x:formula>
    </x:cfRule>
  </x:conditionalFormatting>
  <x:conditionalFormatting sqref="K8:K8">
    <x:cfRule type="timePeriod" dxfId="1" priority="598" timePeriod="lastMonth">
      <x:formula>AND(MONTH(K8)=MONTH(EDATE(TODAY(),0-1)),YEAR(K8)=YEAR(EDATE(TODAY(),0-1)))</x:formula>
    </x:cfRule>
    <x:cfRule type="expression" dxfId="3" priority="599">
      <x:formula>WEEKDAY(K$10)=L$4</x:formula>
    </x:cfRule>
  </x:conditionalFormatting>
  <x:conditionalFormatting sqref="C9:C9">
    <x:cfRule type="expression" dxfId="0" priority="338">
      <x:formula>$B9="日"</x:formula>
    </x:cfRule>
    <x:cfRule type="expression" dxfId="0" priority="337">
      <x:formula>$B9="土"</x:formula>
    </x:cfRule>
  </x:conditionalFormatting>
  <x:conditionalFormatting sqref="D9:D9">
    <x:cfRule type="expression" dxfId="0" priority="282">
      <x:formula>$B9="日"</x:formula>
    </x:cfRule>
    <x:cfRule type="expression" dxfId="0" priority="281">
      <x:formula>$B9="土"</x:formula>
    </x:cfRule>
    <x:cfRule type="timePeriod" dxfId="1" priority="280" timePeriod="lastMonth">
      <x:formula>AND(MONTH(D9)=MONTH(EDATE(TODAY(),0-1)),YEAR(D9)=YEAR(EDATE(TODAY(),0-1)))</x:formula>
    </x:cfRule>
  </x:conditionalFormatting>
  <x:conditionalFormatting sqref="E9:E9">
    <x:cfRule type="expression" dxfId="0" priority="219">
      <x:formula>$B9="日"</x:formula>
    </x:cfRule>
    <x:cfRule type="expression" dxfId="0" priority="218">
      <x:formula>$B9="土"</x:formula>
    </x:cfRule>
    <x:cfRule type="timePeriod" dxfId="1" priority="217" timePeriod="lastMonth">
      <x:formula>AND(MONTH(E9)=MONTH(EDATE(TODAY(),0-1)),YEAR(E9)=YEAR(EDATE(TODAY(),0-1)))</x:formula>
    </x:cfRule>
  </x:conditionalFormatting>
  <x:conditionalFormatting sqref="H9:H9">
    <x:cfRule type="timePeriod" dxfId="1" priority="538" timePeriod="lastMonth">
      <x:formula>AND(MONTH(H9)=MONTH(EDATE(TODAY(),0-1)),YEAR(H9)=YEAR(EDATE(TODAY(),0-1)))</x:formula>
    </x:cfRule>
    <x:cfRule type="expression" dxfId="0" priority="537">
      <x:formula>$B9="日"</x:formula>
    </x:cfRule>
    <x:cfRule type="expression" dxfId="0" priority="536">
      <x:formula>$B9="土"</x:formula>
    </x:cfRule>
  </x:conditionalFormatting>
  <x:conditionalFormatting sqref="I9:I9">
    <x:cfRule type="timePeriod" dxfId="1" priority="594" timePeriod="lastMonth">
      <x:formula>AND(MONTH(I9)=MONTH(EDATE(TODAY(),0-1)),YEAR(I9)=YEAR(EDATE(TODAY(),0-1)))</x:formula>
    </x:cfRule>
    <x:cfRule type="expression" dxfId="0" priority="593">
      <x:formula>$B9="日"</x:formula>
    </x:cfRule>
    <x:cfRule type="expression" dxfId="0" priority="592">
      <x:formula>$B9="土"</x:formula>
    </x:cfRule>
  </x:conditionalFormatting>
  <x:conditionalFormatting sqref="J9:J9">
    <x:cfRule type="timePeriod" dxfId="1" priority="700" timePeriod="lastMonth">
      <x:formula>AND(MONTH(J9)=MONTH(EDATE(TODAY(),0-1)),YEAR(J9)=YEAR(EDATE(TODAY(),0-1)))</x:formula>
    </x:cfRule>
    <x:cfRule type="expression" dxfId="0" priority="699">
      <x:formula>$B9="日"</x:formula>
    </x:cfRule>
    <x:cfRule type="expression" dxfId="0" priority="698">
      <x:formula>$B9="土"</x:formula>
    </x:cfRule>
  </x:conditionalFormatting>
  <x:conditionalFormatting sqref="C10:C10">
    <x:cfRule type="expression" dxfId="0" priority="336">
      <x:formula>$B10="日"</x:formula>
    </x:cfRule>
    <x:cfRule type="expression" dxfId="0" priority="335">
      <x:formula>$B10="土"</x:formula>
    </x:cfRule>
  </x:conditionalFormatting>
  <x:conditionalFormatting sqref="D10:D10">
    <x:cfRule type="expression" dxfId="0" priority="285">
      <x:formula>$B10="日"</x:formula>
    </x:cfRule>
    <x:cfRule type="expression" dxfId="0" priority="284">
      <x:formula>$B10="土"</x:formula>
    </x:cfRule>
    <x:cfRule type="timePeriod" dxfId="1" priority="283" timePeriod="lastMonth">
      <x:formula>AND(MONTH(D10)=MONTH(EDATE(TODAY(),0-1)),YEAR(D10)=YEAR(EDATE(TODAY(),0-1)))</x:formula>
    </x:cfRule>
  </x:conditionalFormatting>
  <x:conditionalFormatting sqref="E10:E10">
    <x:cfRule type="expression" dxfId="0" priority="216">
      <x:formula>$B10="日"</x:formula>
    </x:cfRule>
    <x:cfRule type="expression" dxfId="0" priority="215">
      <x:formula>$B10="土"</x:formula>
    </x:cfRule>
    <x:cfRule type="timePeriod" dxfId="1" priority="214" timePeriod="lastMonth">
      <x:formula>AND(MONTH(E10)=MONTH(EDATE(TODAY(),0-1)),YEAR(E10)=YEAR(EDATE(TODAY(),0-1)))</x:formula>
    </x:cfRule>
  </x:conditionalFormatting>
  <x:conditionalFormatting sqref="H10:H10">
    <x:cfRule type="timePeriod" dxfId="5" priority="135" timePeriod="lastMonth">
      <x:formula>AND(MONTH(H10)=MONTH(EDATE(TODAY(),0-1)),YEAR(H10)=YEAR(EDATE(TODAY(),0-1)))</x:formula>
    </x:cfRule>
    <x:cfRule type="expression" dxfId="6" priority="134">
      <x:formula>$B10="日"</x:formula>
    </x:cfRule>
    <x:cfRule type="expression" dxfId="6" priority="133">
      <x:formula>$B10="土"</x:formula>
    </x:cfRule>
  </x:conditionalFormatting>
  <x:conditionalFormatting sqref="I10:I10">
    <x:cfRule type="timePeriod" dxfId="5" priority="126" timePeriod="lastMonth">
      <x:formula>AND(MONTH(I10)=MONTH(EDATE(TODAY(),0-1)),YEAR(I10)=YEAR(EDATE(TODAY(),0-1)))</x:formula>
    </x:cfRule>
    <x:cfRule type="expression" dxfId="6" priority="125">
      <x:formula>$B10="日"</x:formula>
    </x:cfRule>
    <x:cfRule type="expression" dxfId="6" priority="124">
      <x:formula>$B10="土"</x:formula>
    </x:cfRule>
  </x:conditionalFormatting>
  <x:conditionalFormatting sqref="C11:C11">
    <x:cfRule type="expression" dxfId="0" priority="334">
      <x:formula>$B11="日"</x:formula>
    </x:cfRule>
    <x:cfRule type="expression" dxfId="0" priority="333">
      <x:formula>$B11="土"</x:formula>
    </x:cfRule>
  </x:conditionalFormatting>
  <x:conditionalFormatting sqref="D11:D11">
    <x:cfRule type="expression" dxfId="0" priority="15">
      <x:formula>$B11="日"</x:formula>
    </x:cfRule>
    <x:cfRule type="expression" dxfId="0" priority="14">
      <x:formula>$B11="土"</x:formula>
    </x:cfRule>
    <x:cfRule type="timePeriod" dxfId="1" priority="13" timePeriod="lastMonth">
      <x:formula>AND(MONTH(D11)=MONTH(EDATE(TODAY(),0-1)),YEAR(D11)=YEAR(EDATE(TODAY(),0-1)))</x:formula>
    </x:cfRule>
  </x:conditionalFormatting>
  <x:conditionalFormatting sqref="E11:E11">
    <x:cfRule type="expression" dxfId="0" priority="12">
      <x:formula>$B11="日"</x:formula>
    </x:cfRule>
    <x:cfRule type="expression" dxfId="0" priority="11">
      <x:formula>$B11="土"</x:formula>
    </x:cfRule>
    <x:cfRule type="timePeriod" dxfId="1" priority="10" timePeriod="lastMonth">
      <x:formula>AND(MONTH(E11)=MONTH(EDATE(TODAY(),0-1)),YEAR(E11)=YEAR(EDATE(TODAY(),0-1)))</x:formula>
    </x:cfRule>
  </x:conditionalFormatting>
  <x:conditionalFormatting sqref="H11:H11">
    <x:cfRule type="timePeriod" dxfId="5" priority="132" timePeriod="lastMonth">
      <x:formula>AND(MONTH(H11)=MONTH(EDATE(TODAY(),0-1)),YEAR(H11)=YEAR(EDATE(TODAY(),0-1)))</x:formula>
    </x:cfRule>
    <x:cfRule type="expression" dxfId="6" priority="131">
      <x:formula>$B11="日"</x:formula>
    </x:cfRule>
    <x:cfRule type="expression" dxfId="6" priority="130">
      <x:formula>$B11="土"</x:formula>
    </x:cfRule>
  </x:conditionalFormatting>
  <x:conditionalFormatting sqref="I11:I11">
    <x:cfRule type="timePeriod" dxfId="5" priority="123" timePeriod="lastMonth">
      <x:formula>AND(MONTH(I11)=MONTH(EDATE(TODAY(),0-1)),YEAR(I11)=YEAR(EDATE(TODAY(),0-1)))</x:formula>
    </x:cfRule>
    <x:cfRule type="expression" dxfId="6" priority="122">
      <x:formula>$B11="日"</x:formula>
    </x:cfRule>
    <x:cfRule type="expression" dxfId="6" priority="121">
      <x:formula>$B11="土"</x:formula>
    </x:cfRule>
  </x:conditionalFormatting>
  <x:conditionalFormatting sqref="C12:C12">
    <x:cfRule type="expression" dxfId="0" priority="332">
      <x:formula>$B12="日"</x:formula>
    </x:cfRule>
    <x:cfRule type="expression" dxfId="0" priority="331">
      <x:formula>$B12="土"</x:formula>
    </x:cfRule>
  </x:conditionalFormatting>
  <x:conditionalFormatting sqref="D12:D12">
    <x:cfRule type="expression" dxfId="0" priority="276">
      <x:formula>$B12="日"</x:formula>
    </x:cfRule>
    <x:cfRule type="expression" dxfId="0" priority="275">
      <x:formula>$B12="土"</x:formula>
    </x:cfRule>
    <x:cfRule type="timePeriod" dxfId="1" priority="274" timePeriod="lastMonth">
      <x:formula>AND(MONTH(D12)=MONTH(EDATE(TODAY(),0-1)),YEAR(D12)=YEAR(EDATE(TODAY(),0-1)))</x:formula>
    </x:cfRule>
  </x:conditionalFormatting>
  <x:conditionalFormatting sqref="E12:E12">
    <x:cfRule type="expression" dxfId="0" priority="210">
      <x:formula>$B12="日"</x:formula>
    </x:cfRule>
    <x:cfRule type="expression" dxfId="0" priority="209">
      <x:formula>$B12="土"</x:formula>
    </x:cfRule>
    <x:cfRule type="timePeriod" dxfId="1" priority="208" timePeriod="lastMonth">
      <x:formula>AND(MONTH(E12)=MONTH(EDATE(TODAY(),0-1)),YEAR(E12)=YEAR(EDATE(TODAY(),0-1)))</x:formula>
    </x:cfRule>
  </x:conditionalFormatting>
  <x:conditionalFormatting sqref="H12:H12">
    <x:cfRule type="timePeriod" dxfId="5" priority="129" timePeriod="lastMonth">
      <x:formula>AND(MONTH(H12)=MONTH(EDATE(TODAY(),0-1)),YEAR(H12)=YEAR(EDATE(TODAY(),0-1)))</x:formula>
    </x:cfRule>
    <x:cfRule type="expression" dxfId="6" priority="128">
      <x:formula>$B12="日"</x:formula>
    </x:cfRule>
    <x:cfRule type="expression" dxfId="6" priority="127">
      <x:formula>$B12="土"</x:formula>
    </x:cfRule>
  </x:conditionalFormatting>
  <x:conditionalFormatting sqref="I12:I12">
    <x:cfRule type="timePeriod" dxfId="5" priority="120" timePeriod="lastMonth">
      <x:formula>AND(MONTH(I12)=MONTH(EDATE(TODAY(),0-1)),YEAR(I12)=YEAR(EDATE(TODAY(),0-1)))</x:formula>
    </x:cfRule>
    <x:cfRule type="expression" dxfId="6" priority="119">
      <x:formula>$B12="日"</x:formula>
    </x:cfRule>
    <x:cfRule type="expression" dxfId="6" priority="118">
      <x:formula>$B12="土"</x:formula>
    </x:cfRule>
  </x:conditionalFormatting>
  <x:conditionalFormatting sqref="C13:C13">
    <x:cfRule type="expression" dxfId="0" priority="330">
      <x:formula>$B13="日"</x:formula>
    </x:cfRule>
    <x:cfRule type="expression" dxfId="0" priority="329">
      <x:formula>$B13="土"</x:formula>
    </x:cfRule>
  </x:conditionalFormatting>
  <x:conditionalFormatting sqref="D13:D13">
    <x:cfRule type="expression" dxfId="0" priority="273">
      <x:formula>$B13="日"</x:formula>
    </x:cfRule>
    <x:cfRule type="expression" dxfId="0" priority="272">
      <x:formula>$B13="土"</x:formula>
    </x:cfRule>
    <x:cfRule type="timePeriod" dxfId="1" priority="271" timePeriod="lastMonth">
      <x:formula>AND(MONTH(D13)=MONTH(EDATE(TODAY(),0-1)),YEAR(D13)=YEAR(EDATE(TODAY(),0-1)))</x:formula>
    </x:cfRule>
  </x:conditionalFormatting>
  <x:conditionalFormatting sqref="E13:E13">
    <x:cfRule type="expression" dxfId="0" priority="207">
      <x:formula>$B13="日"</x:formula>
    </x:cfRule>
    <x:cfRule type="expression" dxfId="0" priority="206">
      <x:formula>$B13="土"</x:formula>
    </x:cfRule>
    <x:cfRule type="timePeriod" dxfId="1" priority="205" timePeriod="lastMonth">
      <x:formula>AND(MONTH(E13)=MONTH(EDATE(TODAY(),0-1)),YEAR(E13)=YEAR(EDATE(TODAY(),0-1)))</x:formula>
    </x:cfRule>
  </x:conditionalFormatting>
  <x:conditionalFormatting sqref="H13:H13">
    <x:cfRule type="timePeriod" dxfId="1" priority="497" timePeriod="lastMonth">
      <x:formula>AND(MONTH(H13)=MONTH(EDATE(TODAY(),0-1)),YEAR(H13)=YEAR(EDATE(TODAY(),0-1)))</x:formula>
    </x:cfRule>
    <x:cfRule type="expression" dxfId="0" priority="496">
      <x:formula>$B13="日"</x:formula>
    </x:cfRule>
    <x:cfRule type="expression" dxfId="0" priority="495">
      <x:formula>$B13="土"</x:formula>
    </x:cfRule>
  </x:conditionalFormatting>
  <x:conditionalFormatting sqref="I13:I13">
    <x:cfRule type="timePeriod" dxfId="1" priority="500" timePeriod="lastMonth">
      <x:formula>AND(MONTH(I13)=MONTH(EDATE(TODAY(),0-1)),YEAR(I13)=YEAR(EDATE(TODAY(),0-1)))</x:formula>
    </x:cfRule>
    <x:cfRule type="expression" dxfId="0" priority="499">
      <x:formula>$B13="日"</x:formula>
    </x:cfRule>
    <x:cfRule type="expression" dxfId="0" priority="498">
      <x:formula>$B13="土"</x:formula>
    </x:cfRule>
  </x:conditionalFormatting>
  <x:conditionalFormatting sqref="J13:J13">
    <x:cfRule type="timePeriod" dxfId="1" priority="651" timePeriod="lastMonth">
      <x:formula>AND(MONTH(J13)=MONTH(EDATE(TODAY(),0-1)),YEAR(J13)=YEAR(EDATE(TODAY(),0-1)))</x:formula>
    </x:cfRule>
    <x:cfRule type="expression" dxfId="0" priority="650">
      <x:formula>$B13="日"</x:formula>
    </x:cfRule>
    <x:cfRule type="expression" dxfId="0" priority="649">
      <x:formula>$B13="土"</x:formula>
    </x:cfRule>
  </x:conditionalFormatting>
  <x:conditionalFormatting sqref="K13:K13">
    <x:cfRule type="timePeriod" dxfId="1" priority="647" timePeriod="lastMonth">
      <x:formula>AND(MONTH(K13)=MONTH(EDATE(TODAY(),0-1)),YEAR(K13)=YEAR(EDATE(TODAY(),0-1)))</x:formula>
    </x:cfRule>
    <x:cfRule type="expression" dxfId="3" priority="648">
      <x:formula>WEEKDAY(K$10)=L$4</x:formula>
    </x:cfRule>
  </x:conditionalFormatting>
  <x:conditionalFormatting sqref="C14:C14">
    <x:cfRule type="expression" dxfId="0" priority="328">
      <x:formula>$B14="日"</x:formula>
    </x:cfRule>
    <x:cfRule type="expression" dxfId="0" priority="327">
      <x:formula>$B14="土"</x:formula>
    </x:cfRule>
  </x:conditionalFormatting>
  <x:conditionalFormatting sqref="D14:D14">
    <x:cfRule type="expression" dxfId="0" priority="9">
      <x:formula>$B14="日"</x:formula>
    </x:cfRule>
    <x:cfRule type="expression" dxfId="0" priority="8">
      <x:formula>$B14="土"</x:formula>
    </x:cfRule>
    <x:cfRule type="timePeriod" dxfId="1" priority="7" timePeriod="lastMonth">
      <x:formula>AND(MONTH(D14)=MONTH(EDATE(TODAY(),0-1)),YEAR(D14)=YEAR(EDATE(TODAY(),0-1)))</x:formula>
    </x:cfRule>
  </x:conditionalFormatting>
  <x:conditionalFormatting sqref="E14:E14">
    <x:cfRule type="expression" dxfId="0" priority="6">
      <x:formula>$B14="日"</x:formula>
    </x:cfRule>
    <x:cfRule type="expression" dxfId="0" priority="5">
      <x:formula>$B14="土"</x:formula>
    </x:cfRule>
    <x:cfRule type="timePeriod" dxfId="1" priority="4" timePeriod="lastMonth">
      <x:formula>AND(MONTH(E14)=MONTH(EDATE(TODAY(),0-1)),YEAR(E14)=YEAR(EDATE(TODAY(),0-1)))</x:formula>
    </x:cfRule>
  </x:conditionalFormatting>
  <x:conditionalFormatting sqref="H14:H14">
    <x:cfRule type="timePeriod" dxfId="5" priority="117" timePeriod="lastMonth">
      <x:formula>AND(MONTH(H14)=MONTH(EDATE(TODAY(),0-1)),YEAR(H14)=YEAR(EDATE(TODAY(),0-1)))</x:formula>
    </x:cfRule>
    <x:cfRule type="expression" dxfId="6" priority="116">
      <x:formula>$B14="日"</x:formula>
    </x:cfRule>
    <x:cfRule type="expression" dxfId="6" priority="115">
      <x:formula>$B14="土"</x:formula>
    </x:cfRule>
  </x:conditionalFormatting>
  <x:conditionalFormatting sqref="I14:I14">
    <x:cfRule type="timePeriod" dxfId="5" priority="102" timePeriod="lastMonth">
      <x:formula>AND(MONTH(I14)=MONTH(EDATE(TODAY(),0-1)),YEAR(I14)=YEAR(EDATE(TODAY(),0-1)))</x:formula>
    </x:cfRule>
    <x:cfRule type="expression" dxfId="6" priority="101">
      <x:formula>$B14="日"</x:formula>
    </x:cfRule>
    <x:cfRule type="expression" dxfId="6" priority="100">
      <x:formula>$B14="土"</x:formula>
    </x:cfRule>
  </x:conditionalFormatting>
  <x:conditionalFormatting sqref="K14:K14">
    <x:cfRule type="timePeriod" dxfId="1" priority="671" timePeriod="lastMonth">
      <x:formula>AND(MONTH(K14)=MONTH(EDATE(TODAY(),0-1)),YEAR(K14)=YEAR(EDATE(TODAY(),0-1)))</x:formula>
    </x:cfRule>
    <x:cfRule type="expression" dxfId="3" priority="672">
      <x:formula>WEEKDAY(K$10)=L$4</x:formula>
    </x:cfRule>
  </x:conditionalFormatting>
  <x:conditionalFormatting sqref="C15:C15">
    <x:cfRule type="expression" dxfId="0" priority="326">
      <x:formula>$B15="日"</x:formula>
    </x:cfRule>
    <x:cfRule type="expression" dxfId="0" priority="325">
      <x:formula>$B15="土"</x:formula>
    </x:cfRule>
  </x:conditionalFormatting>
  <x:conditionalFormatting sqref="D15:D15">
    <x:cfRule type="expression" dxfId="0" priority="267">
      <x:formula>$B15="日"</x:formula>
    </x:cfRule>
    <x:cfRule type="expression" dxfId="0" priority="266">
      <x:formula>$B15="土"</x:formula>
    </x:cfRule>
    <x:cfRule type="timePeriod" dxfId="1" priority="265" timePeriod="lastMonth">
      <x:formula>AND(MONTH(D15)=MONTH(EDATE(TODAY(),0-1)),YEAR(D15)=YEAR(EDATE(TODAY(),0-1)))</x:formula>
    </x:cfRule>
  </x:conditionalFormatting>
  <x:conditionalFormatting sqref="E15:E15">
    <x:cfRule type="expression" dxfId="0" priority="198">
      <x:formula>$B15="日"</x:formula>
    </x:cfRule>
    <x:cfRule type="expression" dxfId="0" priority="197">
      <x:formula>$B15="土"</x:formula>
    </x:cfRule>
    <x:cfRule type="timePeriod" dxfId="1" priority="196" timePeriod="lastMonth">
      <x:formula>AND(MONTH(E15)=MONTH(EDATE(TODAY(),0-1)),YEAR(E15)=YEAR(EDATE(TODAY(),0-1)))</x:formula>
    </x:cfRule>
  </x:conditionalFormatting>
  <x:conditionalFormatting sqref="H15:H15">
    <x:cfRule type="timePeriod" dxfId="5" priority="114" timePeriod="lastMonth">
      <x:formula>AND(MONTH(H15)=MONTH(EDATE(TODAY(),0-1)),YEAR(H15)=YEAR(EDATE(TODAY(),0-1)))</x:formula>
    </x:cfRule>
    <x:cfRule type="expression" dxfId="6" priority="113">
      <x:formula>$B15="日"</x:formula>
    </x:cfRule>
    <x:cfRule type="expression" dxfId="6" priority="112">
      <x:formula>$B15="土"</x:formula>
    </x:cfRule>
  </x:conditionalFormatting>
  <x:conditionalFormatting sqref="I15:I15">
    <x:cfRule type="timePeriod" dxfId="5" priority="99" timePeriod="lastMonth">
      <x:formula>AND(MONTH(I15)=MONTH(EDATE(TODAY(),0-1)),YEAR(I15)=YEAR(EDATE(TODAY(),0-1)))</x:formula>
    </x:cfRule>
    <x:cfRule type="expression" dxfId="6" priority="98">
      <x:formula>$B15="日"</x:formula>
    </x:cfRule>
    <x:cfRule type="expression" dxfId="6" priority="97">
      <x:formula>$B15="土"</x:formula>
    </x:cfRule>
  </x:conditionalFormatting>
  <x:conditionalFormatting sqref="J15:J15">
    <x:cfRule type="timePeriod" dxfId="1" priority="697" timePeriod="lastMonth">
      <x:formula>AND(MONTH(J15)=MONTH(EDATE(TODAY(),0-1)),YEAR(J15)=YEAR(EDATE(TODAY(),0-1)))</x:formula>
    </x:cfRule>
    <x:cfRule type="expression" dxfId="0" priority="696">
      <x:formula>$B15="日"</x:formula>
    </x:cfRule>
    <x:cfRule type="expression" dxfId="0" priority="695">
      <x:formula>$B15="土"</x:formula>
    </x:cfRule>
  </x:conditionalFormatting>
  <x:conditionalFormatting sqref="K15:K15">
    <x:cfRule type="timePeriod" dxfId="1" priority="691" timePeriod="lastMonth">
      <x:formula>AND(MONTH(K15)=MONTH(EDATE(TODAY(),0-1)),YEAR(K15)=YEAR(EDATE(TODAY(),0-1)))</x:formula>
    </x:cfRule>
    <x:cfRule type="expression" dxfId="3" priority="692">
      <x:formula>WEEKDAY(K$10)=L$4</x:formula>
    </x:cfRule>
  </x:conditionalFormatting>
  <x:conditionalFormatting sqref="C16:C16">
    <x:cfRule type="expression" dxfId="0" priority="324">
      <x:formula>$B16="日"</x:formula>
    </x:cfRule>
    <x:cfRule type="expression" dxfId="0" priority="323">
      <x:formula>$B16="土"</x:formula>
    </x:cfRule>
  </x:conditionalFormatting>
  <x:conditionalFormatting sqref="D16:D16">
    <x:cfRule type="expression" dxfId="0" priority="264">
      <x:formula>$B16="日"</x:formula>
    </x:cfRule>
    <x:cfRule type="expression" dxfId="0" priority="263">
      <x:formula>$B16="土"</x:formula>
    </x:cfRule>
    <x:cfRule type="timePeriod" dxfId="1" priority="262" timePeriod="lastMonth">
      <x:formula>AND(MONTH(D16)=MONTH(EDATE(TODAY(),0-1)),YEAR(D16)=YEAR(EDATE(TODAY(),0-1)))</x:formula>
    </x:cfRule>
  </x:conditionalFormatting>
  <x:conditionalFormatting sqref="E16:E16">
    <x:cfRule type="expression" dxfId="0" priority="195">
      <x:formula>$B16="日"</x:formula>
    </x:cfRule>
    <x:cfRule type="expression" dxfId="0" priority="194">
      <x:formula>$B16="土"</x:formula>
    </x:cfRule>
    <x:cfRule type="timePeriod" dxfId="1" priority="193" timePeriod="lastMonth">
      <x:formula>AND(MONTH(E16)=MONTH(EDATE(TODAY(),0-1)),YEAR(E16)=YEAR(EDATE(TODAY(),0-1)))</x:formula>
    </x:cfRule>
  </x:conditionalFormatting>
  <x:conditionalFormatting sqref="H16:H16">
    <x:cfRule type="timePeriod" dxfId="5" priority="111" timePeriod="lastMonth">
      <x:formula>AND(MONTH(H16)=MONTH(EDATE(TODAY(),0-1)),YEAR(H16)=YEAR(EDATE(TODAY(),0-1)))</x:formula>
    </x:cfRule>
    <x:cfRule type="expression" dxfId="6" priority="110">
      <x:formula>$B16="日"</x:formula>
    </x:cfRule>
    <x:cfRule type="expression" dxfId="6" priority="109">
      <x:formula>$B16="土"</x:formula>
    </x:cfRule>
  </x:conditionalFormatting>
  <x:conditionalFormatting sqref="I16:I16">
    <x:cfRule type="timePeriod" dxfId="5" priority="96" timePeriod="lastMonth">
      <x:formula>AND(MONTH(I16)=MONTH(EDATE(TODAY(),0-1)),YEAR(I16)=YEAR(EDATE(TODAY(),0-1)))</x:formula>
    </x:cfRule>
    <x:cfRule type="expression" dxfId="6" priority="95">
      <x:formula>$B16="日"</x:formula>
    </x:cfRule>
    <x:cfRule type="expression" dxfId="6" priority="94">
      <x:formula>$B16="土"</x:formula>
    </x:cfRule>
  </x:conditionalFormatting>
  <x:conditionalFormatting sqref="C17:C17">
    <x:cfRule type="expression" dxfId="0" priority="322">
      <x:formula>$B17="日"</x:formula>
    </x:cfRule>
    <x:cfRule type="expression" dxfId="0" priority="321">
      <x:formula>$B17="土"</x:formula>
    </x:cfRule>
  </x:conditionalFormatting>
  <x:conditionalFormatting sqref="D17:D17">
    <x:cfRule type="expression" dxfId="0" priority="466">
      <x:formula>$B17="日"</x:formula>
    </x:cfRule>
    <x:cfRule type="expression" dxfId="0" priority="465">
      <x:formula>$B17="土"</x:formula>
    </x:cfRule>
    <x:cfRule type="timePeriod" dxfId="1" priority="464" timePeriod="lastMonth">
      <x:formula>AND(MONTH(D17)=MONTH(EDATE(TODAY(),0-1)),YEAR(D17)=YEAR(EDATE(TODAY(),0-1)))</x:formula>
    </x:cfRule>
  </x:conditionalFormatting>
  <x:conditionalFormatting sqref="E17:E17">
    <x:cfRule type="expression" dxfId="0" priority="192">
      <x:formula>$B17="日"</x:formula>
    </x:cfRule>
    <x:cfRule type="expression" dxfId="0" priority="191">
      <x:formula>$B17="土"</x:formula>
    </x:cfRule>
    <x:cfRule type="timePeriod" dxfId="1" priority="190" timePeriod="lastMonth">
      <x:formula>AND(MONTH(E17)=MONTH(EDATE(TODAY(),0-1)),YEAR(E17)=YEAR(EDATE(TODAY(),0-1)))</x:formula>
    </x:cfRule>
  </x:conditionalFormatting>
  <x:conditionalFormatting sqref="H17:H17">
    <x:cfRule type="timePeriod" dxfId="5" priority="108" timePeriod="lastMonth">
      <x:formula>AND(MONTH(H17)=MONTH(EDATE(TODAY(),0-1)),YEAR(H17)=YEAR(EDATE(TODAY(),0-1)))</x:formula>
    </x:cfRule>
    <x:cfRule type="expression" dxfId="6" priority="107">
      <x:formula>$B17="日"</x:formula>
    </x:cfRule>
    <x:cfRule type="expression" dxfId="6" priority="106">
      <x:formula>$B17="土"</x:formula>
    </x:cfRule>
  </x:conditionalFormatting>
  <x:conditionalFormatting sqref="I17:I17">
    <x:cfRule type="timePeriod" dxfId="5" priority="93" timePeriod="lastMonth">
      <x:formula>AND(MONTH(I17)=MONTH(EDATE(TODAY(),0-1)),YEAR(I17)=YEAR(EDATE(TODAY(),0-1)))</x:formula>
    </x:cfRule>
    <x:cfRule type="expression" dxfId="6" priority="92">
      <x:formula>$B17="日"</x:formula>
    </x:cfRule>
    <x:cfRule type="expression" dxfId="6" priority="91">
      <x:formula>$B17="土"</x:formula>
    </x:cfRule>
  </x:conditionalFormatting>
  <x:conditionalFormatting sqref="A18:A18">
    <x:cfRule type="expression" dxfId="0" priority="543">
      <x:formula>$B18="日"</x:formula>
    </x:cfRule>
    <x:cfRule type="expression" dxfId="0" priority="542">
      <x:formula>$B18="土"</x:formula>
    </x:cfRule>
  </x:conditionalFormatting>
  <x:conditionalFormatting sqref="B18:B18">
    <x:cfRule type="timePeriod" dxfId="1" priority="541" timePeriod="lastMonth">
      <x:formula>AND(MONTH(B18)=MONTH(EDATE(TODAY(),0-1)),YEAR(B18)=YEAR(EDATE(TODAY(),0-1)))</x:formula>
    </x:cfRule>
    <x:cfRule type="expression" dxfId="0" priority="540">
      <x:formula>$B18="日"</x:formula>
    </x:cfRule>
    <x:cfRule type="expression" dxfId="0" priority="539">
      <x:formula>$B18="土"</x:formula>
    </x:cfRule>
  </x:conditionalFormatting>
  <x:conditionalFormatting sqref="C18:C18">
    <x:cfRule type="expression" dxfId="0" priority="320">
      <x:formula>$B18="日"</x:formula>
    </x:cfRule>
    <x:cfRule type="expression" dxfId="0" priority="319">
      <x:formula>$B18="土"</x:formula>
    </x:cfRule>
  </x:conditionalFormatting>
  <x:conditionalFormatting sqref="E18:E18">
    <x:cfRule type="expression" dxfId="0" priority="189">
      <x:formula>$B18="日"</x:formula>
    </x:cfRule>
    <x:cfRule type="expression" dxfId="0" priority="188">
      <x:formula>$B18="土"</x:formula>
    </x:cfRule>
    <x:cfRule type="timePeriod" dxfId="1" priority="187" timePeriod="lastMonth">
      <x:formula>AND(MONTH(E18)=MONTH(EDATE(TODAY(),0-1)),YEAR(E18)=YEAR(EDATE(TODAY(),0-1)))</x:formula>
    </x:cfRule>
  </x:conditionalFormatting>
  <x:conditionalFormatting sqref="H18:H18">
    <x:cfRule type="timePeriod" dxfId="5" priority="105" timePeriod="lastMonth">
      <x:formula>AND(MONTH(H18)=MONTH(EDATE(TODAY(),0-1)),YEAR(H18)=YEAR(EDATE(TODAY(),0-1)))</x:formula>
    </x:cfRule>
    <x:cfRule type="expression" dxfId="6" priority="104">
      <x:formula>$B18="日"</x:formula>
    </x:cfRule>
    <x:cfRule type="expression" dxfId="6" priority="103">
      <x:formula>$B18="土"</x:formula>
    </x:cfRule>
  </x:conditionalFormatting>
  <x:conditionalFormatting sqref="I18:I18">
    <x:cfRule type="timePeriod" dxfId="5" priority="90" timePeriod="lastMonth">
      <x:formula>AND(MONTH(I18)=MONTH(EDATE(TODAY(),0-1)),YEAR(I18)=YEAR(EDATE(TODAY(),0-1)))</x:formula>
    </x:cfRule>
    <x:cfRule type="expression" dxfId="6" priority="89">
      <x:formula>$B18="日"</x:formula>
    </x:cfRule>
    <x:cfRule type="expression" dxfId="6" priority="88">
      <x:formula>$B18="土"</x:formula>
    </x:cfRule>
  </x:conditionalFormatting>
  <x:conditionalFormatting sqref="J18:J18">
    <x:cfRule type="timePeriod" dxfId="1" priority="549" timePeriod="lastMonth">
      <x:formula>AND(MONTH(J18)=MONTH(EDATE(TODAY(),0-1)),YEAR(J18)=YEAR(EDATE(TODAY(),0-1)))</x:formula>
    </x:cfRule>
    <x:cfRule type="expression" dxfId="0" priority="548">
      <x:formula>$B18="日"</x:formula>
    </x:cfRule>
    <x:cfRule type="expression" dxfId="0" priority="547">
      <x:formula>$B18="土"</x:formula>
    </x:cfRule>
  </x:conditionalFormatting>
  <x:conditionalFormatting sqref="K18:K18">
    <x:cfRule type="timePeriod" dxfId="1" priority="546" timePeriod="lastMonth">
      <x:formula>AND(MONTH(K18)=MONTH(EDATE(TODAY(),0-1)),YEAR(K18)=YEAR(EDATE(TODAY(),0-1)))</x:formula>
    </x:cfRule>
    <x:cfRule type="expression" dxfId="0" priority="545">
      <x:formula>$B18="日"</x:formula>
    </x:cfRule>
    <x:cfRule type="expression" dxfId="0" priority="544">
      <x:formula>$B18="土"</x:formula>
    </x:cfRule>
  </x:conditionalFormatting>
  <x:conditionalFormatting sqref="C19:C19">
    <x:cfRule type="expression" dxfId="0" priority="318">
      <x:formula>$B19="日"</x:formula>
    </x:cfRule>
    <x:cfRule type="expression" dxfId="0" priority="317">
      <x:formula>$B19="土"</x:formula>
    </x:cfRule>
  </x:conditionalFormatting>
  <x:conditionalFormatting sqref="I19:I19">
    <x:cfRule type="timePeriod" dxfId="1" priority="458" timePeriod="lastMonth">
      <x:formula>AND(MONTH(I19)=MONTH(EDATE(TODAY(),0-1)),YEAR(I19)=YEAR(EDATE(TODAY(),0-1)))</x:formula>
    </x:cfRule>
    <x:cfRule type="expression" dxfId="0" priority="457">
      <x:formula>$B19="日"</x:formula>
    </x:cfRule>
    <x:cfRule type="expression" dxfId="0" priority="456">
      <x:formula>$B19="土"</x:formula>
    </x:cfRule>
  </x:conditionalFormatting>
  <x:conditionalFormatting sqref="K19:K19">
    <x:cfRule type="timePeriod" dxfId="1" priority="617" timePeriod="lastMonth">
      <x:formula>AND(MONTH(K19)=MONTH(EDATE(TODAY(),0-1)),YEAR(K19)=YEAR(EDATE(TODAY(),0-1)))</x:formula>
    </x:cfRule>
    <x:cfRule type="expression" dxfId="0" priority="616">
      <x:formula>$B19="日"</x:formula>
    </x:cfRule>
    <x:cfRule type="expression" dxfId="0" priority="615">
      <x:formula>$B19="土"</x:formula>
    </x:cfRule>
  </x:conditionalFormatting>
  <x:conditionalFormatting sqref="C20:C20">
    <x:cfRule type="expression" dxfId="0" priority="316">
      <x:formula>$B20="日"</x:formula>
    </x:cfRule>
    <x:cfRule type="expression" dxfId="0" priority="315">
      <x:formula>$B20="土"</x:formula>
    </x:cfRule>
  </x:conditionalFormatting>
  <x:conditionalFormatting sqref="D20:D20">
    <x:cfRule type="expression" dxfId="0" priority="261">
      <x:formula>$B20="日"</x:formula>
    </x:cfRule>
    <x:cfRule type="expression" dxfId="0" priority="260">
      <x:formula>$B20="土"</x:formula>
    </x:cfRule>
    <x:cfRule type="timePeriod" dxfId="1" priority="259" timePeriod="lastMonth">
      <x:formula>AND(MONTH(D20)=MONTH(EDATE(TODAY(),0-1)),YEAR(D20)=YEAR(EDATE(TODAY(),0-1)))</x:formula>
    </x:cfRule>
  </x:conditionalFormatting>
  <x:conditionalFormatting sqref="H20:H20">
    <x:cfRule type="timePeriod" dxfId="1" priority="588" timePeriod="lastMonth">
      <x:formula>AND(MONTH(H20)=MONTH(EDATE(TODAY(),0-1)),YEAR(H20)=YEAR(EDATE(TODAY(),0-1)))</x:formula>
    </x:cfRule>
    <x:cfRule type="expression" dxfId="0" priority="587">
      <x:formula>$B20="日"</x:formula>
    </x:cfRule>
    <x:cfRule type="expression" dxfId="0" priority="586">
      <x:formula>$B20="土"</x:formula>
    </x:cfRule>
  </x:conditionalFormatting>
  <x:conditionalFormatting sqref="I20:I20">
    <x:cfRule type="timePeriod" dxfId="1" priority="452" timePeriod="lastMonth">
      <x:formula>AND(MONTH(I20)=MONTH(EDATE(TODAY(),0-1)),YEAR(I20)=YEAR(EDATE(TODAY(),0-1)))</x:formula>
    </x:cfRule>
    <x:cfRule type="expression" dxfId="0" priority="451">
      <x:formula>$B20="日"</x:formula>
    </x:cfRule>
    <x:cfRule type="expression" dxfId="0" priority="450">
      <x:formula>$B20="土"</x:formula>
    </x:cfRule>
  </x:conditionalFormatting>
  <x:conditionalFormatting sqref="A21:B21">
    <x:cfRule type="expression" dxfId="0" priority="627">
      <x:formula>$B21="日"</x:formula>
    </x:cfRule>
    <x:cfRule type="expression" dxfId="0" priority="626">
      <x:formula>$B21="土"</x:formula>
    </x:cfRule>
  </x:conditionalFormatting>
  <x:conditionalFormatting sqref="B21:B21">
    <x:cfRule type="timePeriod" dxfId="1" priority="628" timePeriod="lastMonth">
      <x:formula>AND(MONTH(B21)=MONTH(EDATE(TODAY(),0-1)),YEAR(B21)=YEAR(EDATE(TODAY(),0-1)))</x:formula>
    </x:cfRule>
  </x:conditionalFormatting>
  <x:conditionalFormatting sqref="C21:C21">
    <x:cfRule type="expression" dxfId="0" priority="314">
      <x:formula>$B21="日"</x:formula>
    </x:cfRule>
    <x:cfRule type="expression" dxfId="0" priority="313">
      <x:formula>$B21="土"</x:formula>
    </x:cfRule>
  </x:conditionalFormatting>
  <x:conditionalFormatting sqref="D21:D21">
    <x:cfRule type="expression" dxfId="0" priority="258">
      <x:formula>$B21="日"</x:formula>
    </x:cfRule>
    <x:cfRule type="expression" dxfId="0" priority="257">
      <x:formula>$B21="土"</x:formula>
    </x:cfRule>
    <x:cfRule type="timePeriod" dxfId="1" priority="256" timePeriod="lastMonth">
      <x:formula>AND(MONTH(D21)=MONTH(EDATE(TODAY(),0-1)),YEAR(D21)=YEAR(EDATE(TODAY(),0-1)))</x:formula>
    </x:cfRule>
  </x:conditionalFormatting>
  <x:conditionalFormatting sqref="H21:H21">
    <x:cfRule type="timePeriod" dxfId="5" priority="81" timePeriod="lastMonth">
      <x:formula>AND(MONTH(H21)=MONTH(EDATE(TODAY(),0-1)),YEAR(H21)=YEAR(EDATE(TODAY(),0-1)))</x:formula>
    </x:cfRule>
    <x:cfRule type="expression" dxfId="6" priority="80">
      <x:formula>$B21="日"</x:formula>
    </x:cfRule>
    <x:cfRule type="expression" dxfId="6" priority="79">
      <x:formula>$B21="土"</x:formula>
    </x:cfRule>
  </x:conditionalFormatting>
  <x:conditionalFormatting sqref="I21:I21">
    <x:cfRule type="timePeriod" dxfId="5" priority="66" timePeriod="lastMonth">
      <x:formula>AND(MONTH(I21)=MONTH(EDATE(TODAY(),0-1)),YEAR(I21)=YEAR(EDATE(TODAY(),0-1)))</x:formula>
    </x:cfRule>
    <x:cfRule type="expression" dxfId="6" priority="65">
      <x:formula>$B21="日"</x:formula>
    </x:cfRule>
    <x:cfRule type="expression" dxfId="6" priority="64">
      <x:formula>$B21="土"</x:formula>
    </x:cfRule>
  </x:conditionalFormatting>
  <x:conditionalFormatting sqref="J21:J21">
    <x:cfRule type="timePeriod" dxfId="1" priority="625" timePeriod="lastMonth">
      <x:formula>AND(MONTH(J21)=MONTH(EDATE(TODAY(),0-1)),YEAR(J21)=YEAR(EDATE(TODAY(),0-1)))</x:formula>
    </x:cfRule>
    <x:cfRule type="expression" dxfId="0" priority="624">
      <x:formula>$B21="日"</x:formula>
    </x:cfRule>
    <x:cfRule type="expression" dxfId="0" priority="623">
      <x:formula>$B21="土"</x:formula>
    </x:cfRule>
  </x:conditionalFormatting>
  <x:conditionalFormatting sqref="K21:K21">
    <x:cfRule type="timePeriod" dxfId="1" priority="621" timePeriod="lastMonth">
      <x:formula>AND(MONTH(K21)=MONTH(EDATE(TODAY(),0-1)),YEAR(K21)=YEAR(EDATE(TODAY(),0-1)))</x:formula>
    </x:cfRule>
    <x:cfRule type="expression" dxfId="3" priority="622">
      <x:formula>WEEKDAY(K$10)=L$4</x:formula>
    </x:cfRule>
  </x:conditionalFormatting>
  <x:conditionalFormatting sqref="C22:C22">
    <x:cfRule type="expression" dxfId="0" priority="312">
      <x:formula>$B22="日"</x:formula>
    </x:cfRule>
    <x:cfRule type="expression" dxfId="0" priority="311">
      <x:formula>$B22="土"</x:formula>
    </x:cfRule>
  </x:conditionalFormatting>
  <x:conditionalFormatting sqref="D22:D22">
    <x:cfRule type="expression" dxfId="0" priority="252">
      <x:formula>$B22="日"</x:formula>
    </x:cfRule>
    <x:cfRule type="expression" dxfId="0" priority="251">
      <x:formula>$B22="土"</x:formula>
    </x:cfRule>
    <x:cfRule type="timePeriod" dxfId="1" priority="250" timePeriod="lastMonth">
      <x:formula>AND(MONTH(D22)=MONTH(EDATE(TODAY(),0-1)),YEAR(D22)=YEAR(EDATE(TODAY(),0-1)))</x:formula>
    </x:cfRule>
  </x:conditionalFormatting>
  <x:conditionalFormatting sqref="H22:H22">
    <x:cfRule type="timePeriod" dxfId="5" priority="78" timePeriod="lastMonth">
      <x:formula>AND(MONTH(H22)=MONTH(EDATE(TODAY(),0-1)),YEAR(H22)=YEAR(EDATE(TODAY(),0-1)))</x:formula>
    </x:cfRule>
    <x:cfRule type="expression" dxfId="6" priority="77">
      <x:formula>$B22="日"</x:formula>
    </x:cfRule>
    <x:cfRule type="expression" dxfId="6" priority="76">
      <x:formula>$B22="土"</x:formula>
    </x:cfRule>
  </x:conditionalFormatting>
  <x:conditionalFormatting sqref="I22:I22">
    <x:cfRule type="timePeriod" dxfId="5" priority="63" timePeriod="lastMonth">
      <x:formula>AND(MONTH(I22)=MONTH(EDATE(TODAY(),0-1)),YEAR(I22)=YEAR(EDATE(TODAY(),0-1)))</x:formula>
    </x:cfRule>
    <x:cfRule type="expression" dxfId="6" priority="62">
      <x:formula>$B22="日"</x:formula>
    </x:cfRule>
    <x:cfRule type="expression" dxfId="6" priority="61">
      <x:formula>$B22="土"</x:formula>
    </x:cfRule>
  </x:conditionalFormatting>
  <x:conditionalFormatting sqref="J22:J22">
    <x:cfRule type="timePeriod" dxfId="1" priority="690" timePeriod="lastMonth">
      <x:formula>AND(MONTH(J22)=MONTH(EDATE(TODAY(),0-1)),YEAR(J22)=YEAR(EDATE(TODAY(),0-1)))</x:formula>
    </x:cfRule>
    <x:cfRule type="expression" dxfId="0" priority="689">
      <x:formula>$B22="日"</x:formula>
    </x:cfRule>
    <x:cfRule type="expression" dxfId="0" priority="688">
      <x:formula>$B22="土"</x:formula>
    </x:cfRule>
  </x:conditionalFormatting>
  <x:conditionalFormatting sqref="K22:K22">
    <x:cfRule type="timePeriod" dxfId="1" priority="669" timePeriod="lastMonth">
      <x:formula>AND(MONTH(K22)=MONTH(EDATE(TODAY(),0-1)),YEAR(K22)=YEAR(EDATE(TODAY(),0-1)))</x:formula>
    </x:cfRule>
    <x:cfRule type="expression" dxfId="3" priority="670">
      <x:formula>WEEKDAY(K$10)=L$4</x:formula>
    </x:cfRule>
  </x:conditionalFormatting>
  <x:conditionalFormatting sqref="C23:C23">
    <x:cfRule type="expression" dxfId="0" priority="310">
      <x:formula>$B23="日"</x:formula>
    </x:cfRule>
    <x:cfRule type="expression" dxfId="0" priority="309">
      <x:formula>$B23="土"</x:formula>
    </x:cfRule>
  </x:conditionalFormatting>
  <x:conditionalFormatting sqref="D23:D23">
    <x:cfRule type="expression" dxfId="0" priority="255">
      <x:formula>$B23="日"</x:formula>
    </x:cfRule>
    <x:cfRule type="expression" dxfId="0" priority="254">
      <x:formula>$B23="土"</x:formula>
    </x:cfRule>
    <x:cfRule type="timePeriod" dxfId="1" priority="253" timePeriod="lastMonth">
      <x:formula>AND(MONTH(D23)=MONTH(EDATE(TODAY(),0-1)),YEAR(D23)=YEAR(EDATE(TODAY(),0-1)))</x:formula>
    </x:cfRule>
  </x:conditionalFormatting>
  <x:conditionalFormatting sqref="H23:H23">
    <x:cfRule type="timePeriod" dxfId="5" priority="75" timePeriod="lastMonth">
      <x:formula>AND(MONTH(H23)=MONTH(EDATE(TODAY(),0-1)),YEAR(H23)=YEAR(EDATE(TODAY(),0-1)))</x:formula>
    </x:cfRule>
    <x:cfRule type="expression" dxfId="6" priority="74">
      <x:formula>$B23="日"</x:formula>
    </x:cfRule>
    <x:cfRule type="expression" dxfId="6" priority="73">
      <x:formula>$B23="土"</x:formula>
    </x:cfRule>
  </x:conditionalFormatting>
  <x:conditionalFormatting sqref="I23:I23">
    <x:cfRule type="timePeriod" dxfId="5" priority="60" timePeriod="lastMonth">
      <x:formula>AND(MONTH(I23)=MONTH(EDATE(TODAY(),0-1)),YEAR(I23)=YEAR(EDATE(TODAY(),0-1)))</x:formula>
    </x:cfRule>
    <x:cfRule type="expression" dxfId="6" priority="59">
      <x:formula>$B23="日"</x:formula>
    </x:cfRule>
    <x:cfRule type="expression" dxfId="6" priority="58">
      <x:formula>$B23="土"</x:formula>
    </x:cfRule>
  </x:conditionalFormatting>
  <x:conditionalFormatting sqref="C24:C24">
    <x:cfRule type="expression" dxfId="0" priority="423">
      <x:formula>$B24="日"</x:formula>
    </x:cfRule>
    <x:cfRule type="expression" dxfId="0" priority="422">
      <x:formula>$B24="土"</x:formula>
    </x:cfRule>
  </x:conditionalFormatting>
  <x:conditionalFormatting sqref="D24:D24">
    <x:cfRule type="expression" dxfId="0" priority="21">
      <x:formula>$B24="日"</x:formula>
    </x:cfRule>
    <x:cfRule type="expression" dxfId="0" priority="20">
      <x:formula>$B24="土"</x:formula>
    </x:cfRule>
    <x:cfRule type="timePeriod" dxfId="1" priority="19" timePeriod="lastMonth">
      <x:formula>AND(MONTH(D24)=MONTH(EDATE(TODAY(),0-1)),YEAR(D24)=YEAR(EDATE(TODAY(),0-1)))</x:formula>
    </x:cfRule>
  </x:conditionalFormatting>
  <x:conditionalFormatting sqref="E24:E24">
    <x:cfRule type="expression" dxfId="0" priority="18">
      <x:formula>$B24="日"</x:formula>
    </x:cfRule>
    <x:cfRule type="expression" dxfId="0" priority="17">
      <x:formula>$B24="土"</x:formula>
    </x:cfRule>
    <x:cfRule type="timePeriod" dxfId="1" priority="16" timePeriod="lastMonth">
      <x:formula>AND(MONTH(E24)=MONTH(EDATE(TODAY(),0-1)),YEAR(E24)=YEAR(EDATE(TODAY(),0-1)))</x:formula>
    </x:cfRule>
  </x:conditionalFormatting>
  <x:conditionalFormatting sqref="H24:H24">
    <x:cfRule type="timePeriod" dxfId="5" priority="87" timePeriod="lastMonth">
      <x:formula>AND(MONTH(H24)=MONTH(EDATE(TODAY(),0-1)),YEAR(H24)=YEAR(EDATE(TODAY(),0-1)))</x:formula>
    </x:cfRule>
    <x:cfRule type="expression" dxfId="6" priority="86">
      <x:formula>$B24="日"</x:formula>
    </x:cfRule>
    <x:cfRule type="expression" dxfId="6" priority="85">
      <x:formula>$B24="土"</x:formula>
    </x:cfRule>
  </x:conditionalFormatting>
  <x:conditionalFormatting sqref="I24:I24">
    <x:cfRule type="timePeriod" dxfId="5" priority="72" timePeriod="lastMonth">
      <x:formula>AND(MONTH(I24)=MONTH(EDATE(TODAY(),0-1)),YEAR(I24)=YEAR(EDATE(TODAY(),0-1)))</x:formula>
    </x:cfRule>
    <x:cfRule type="expression" dxfId="6" priority="71">
      <x:formula>$B24="日"</x:formula>
    </x:cfRule>
    <x:cfRule type="expression" dxfId="6" priority="70">
      <x:formula>$B24="土"</x:formula>
    </x:cfRule>
  </x:conditionalFormatting>
  <x:conditionalFormatting sqref="C25:C25">
    <x:cfRule type="expression" dxfId="0" priority="308">
      <x:formula>$B25="日"</x:formula>
    </x:cfRule>
    <x:cfRule type="expression" dxfId="0" priority="307">
      <x:formula>$B25="土"</x:formula>
    </x:cfRule>
  </x:conditionalFormatting>
  <x:conditionalFormatting sqref="E25:E25">
    <x:cfRule type="expression" dxfId="0" priority="180">
      <x:formula>$B25="日"</x:formula>
    </x:cfRule>
    <x:cfRule type="expression" dxfId="0" priority="179">
      <x:formula>$B25="土"</x:formula>
    </x:cfRule>
    <x:cfRule type="timePeriod" dxfId="1" priority="178" timePeriod="lastMonth">
      <x:formula>AND(MONTH(E25)=MONTH(EDATE(TODAY(),0-1)),YEAR(E25)=YEAR(EDATE(TODAY(),0-1)))</x:formula>
    </x:cfRule>
  </x:conditionalFormatting>
  <x:conditionalFormatting sqref="H25:H25">
    <x:cfRule type="timePeriod" dxfId="5" priority="84" timePeriod="lastMonth">
      <x:formula>AND(MONTH(H25)=MONTH(EDATE(TODAY(),0-1)),YEAR(H25)=YEAR(EDATE(TODAY(),0-1)))</x:formula>
    </x:cfRule>
    <x:cfRule type="expression" dxfId="6" priority="83">
      <x:formula>$B25="日"</x:formula>
    </x:cfRule>
    <x:cfRule type="expression" dxfId="6" priority="82">
      <x:formula>$B25="土"</x:formula>
    </x:cfRule>
  </x:conditionalFormatting>
  <x:conditionalFormatting sqref="I25:I25">
    <x:cfRule type="timePeriod" dxfId="5" priority="69" timePeriod="lastMonth">
      <x:formula>AND(MONTH(I25)=MONTH(EDATE(TODAY(),0-1)),YEAR(I25)=YEAR(EDATE(TODAY(),0-1)))</x:formula>
    </x:cfRule>
    <x:cfRule type="expression" dxfId="6" priority="68">
      <x:formula>$B25="日"</x:formula>
    </x:cfRule>
    <x:cfRule type="expression" dxfId="6" priority="67">
      <x:formula>$B25="土"</x:formula>
    </x:cfRule>
  </x:conditionalFormatting>
  <x:conditionalFormatting sqref="C26:C26">
    <x:cfRule type="expression" dxfId="0" priority="306">
      <x:formula>$B26="日"</x:formula>
    </x:cfRule>
    <x:cfRule type="expression" dxfId="0" priority="305">
      <x:formula>$B26="土"</x:formula>
    </x:cfRule>
  </x:conditionalFormatting>
  <x:conditionalFormatting sqref="E26:E26">
    <x:cfRule type="expression" dxfId="0" priority="177">
      <x:formula>$B26="日"</x:formula>
    </x:cfRule>
    <x:cfRule type="expression" dxfId="0" priority="176">
      <x:formula>$B26="土"</x:formula>
    </x:cfRule>
    <x:cfRule type="timePeriod" dxfId="1" priority="175" timePeriod="lastMonth">
      <x:formula>AND(MONTH(E26)=MONTH(EDATE(TODAY(),0-1)),YEAR(E26)=YEAR(EDATE(TODAY(),0-1)))</x:formula>
    </x:cfRule>
  </x:conditionalFormatting>
  <x:conditionalFormatting sqref="H26:H26">
    <x:cfRule type="timePeriod" dxfId="1" priority="359" timePeriod="lastMonth">
      <x:formula>AND(MONTH(H26)=MONTH(EDATE(TODAY(),0-1)),YEAR(H26)=YEAR(EDATE(TODAY(),0-1)))</x:formula>
    </x:cfRule>
    <x:cfRule type="expression" dxfId="0" priority="358">
      <x:formula>$B26="日"</x:formula>
    </x:cfRule>
    <x:cfRule type="expression" dxfId="0" priority="357">
      <x:formula>$B26="土"</x:formula>
    </x:cfRule>
  </x:conditionalFormatting>
  <x:conditionalFormatting sqref="I26:I26">
    <x:cfRule type="timePeriod" dxfId="1" priority="374" timePeriod="lastMonth">
      <x:formula>AND(MONTH(I26)=MONTH(EDATE(TODAY(),0-1)),YEAR(I26)=YEAR(EDATE(TODAY(),0-1)))</x:formula>
    </x:cfRule>
    <x:cfRule type="expression" dxfId="0" priority="373">
      <x:formula>$B26="日"</x:formula>
    </x:cfRule>
    <x:cfRule type="expression" dxfId="0" priority="372">
      <x:formula>$B26="土"</x:formula>
    </x:cfRule>
  </x:conditionalFormatting>
  <x:conditionalFormatting sqref="C27:C27">
    <x:cfRule type="expression" dxfId="0" priority="304">
      <x:formula>$B27="日"</x:formula>
    </x:cfRule>
    <x:cfRule type="expression" dxfId="0" priority="303">
      <x:formula>$B27="土"</x:formula>
    </x:cfRule>
  </x:conditionalFormatting>
  <x:conditionalFormatting sqref="E27:E27">
    <x:cfRule type="expression" dxfId="0" priority="174">
      <x:formula>$B27="日"</x:formula>
    </x:cfRule>
    <x:cfRule type="expression" dxfId="0" priority="173">
      <x:formula>$B27="土"</x:formula>
    </x:cfRule>
    <x:cfRule type="timePeriod" dxfId="1" priority="172" timePeriod="lastMonth">
      <x:formula>AND(MONTH(E27)=MONTH(EDATE(TODAY(),0-1)),YEAR(E27)=YEAR(EDATE(TODAY(),0-1)))</x:formula>
    </x:cfRule>
  </x:conditionalFormatting>
  <x:conditionalFormatting sqref="H27:H27">
    <x:cfRule type="timePeriod" dxfId="1" priority="356" timePeriod="lastMonth">
      <x:formula>AND(MONTH(H27)=MONTH(EDATE(TODAY(),0-1)),YEAR(H27)=YEAR(EDATE(TODAY(),0-1)))</x:formula>
    </x:cfRule>
    <x:cfRule type="expression" dxfId="0" priority="355">
      <x:formula>$B27="日"</x:formula>
    </x:cfRule>
    <x:cfRule type="expression" dxfId="0" priority="354">
      <x:formula>$B27="土"</x:formula>
    </x:cfRule>
  </x:conditionalFormatting>
  <x:conditionalFormatting sqref="I27:I27">
    <x:cfRule type="timePeriod" dxfId="1" priority="371" timePeriod="lastMonth">
      <x:formula>AND(MONTH(I27)=MONTH(EDATE(TODAY(),0-1)),YEAR(I27)=YEAR(EDATE(TODAY(),0-1)))</x:formula>
    </x:cfRule>
    <x:cfRule type="expression" dxfId="0" priority="370">
      <x:formula>$B27="日"</x:formula>
    </x:cfRule>
    <x:cfRule type="expression" dxfId="0" priority="369">
      <x:formula>$B27="土"</x:formula>
    </x:cfRule>
  </x:conditionalFormatting>
  <x:conditionalFormatting sqref="C28:C28">
    <x:cfRule type="expression" dxfId="0" priority="302">
      <x:formula>$B28="日"</x:formula>
    </x:cfRule>
    <x:cfRule type="expression" dxfId="0" priority="301">
      <x:formula>$B28="土"</x:formula>
    </x:cfRule>
  </x:conditionalFormatting>
  <x:conditionalFormatting sqref="E28:E28">
    <x:cfRule type="expression" dxfId="0" priority="171">
      <x:formula>$B28="日"</x:formula>
    </x:cfRule>
    <x:cfRule type="expression" dxfId="0" priority="170">
      <x:formula>$B28="土"</x:formula>
    </x:cfRule>
    <x:cfRule type="timePeriod" dxfId="1" priority="169" timePeriod="lastMonth">
      <x:formula>AND(MONTH(E28)=MONTH(EDATE(TODAY(),0-1)),YEAR(E28)=YEAR(EDATE(TODAY(),0-1)))</x:formula>
    </x:cfRule>
  </x:conditionalFormatting>
  <x:conditionalFormatting sqref="H28:H28">
    <x:cfRule type="timePeriod" dxfId="5" priority="54" timePeriod="lastMonth">
      <x:formula>AND(MONTH(H28)=MONTH(EDATE(TODAY(),0-1)),YEAR(H28)=YEAR(EDATE(TODAY(),0-1)))</x:formula>
    </x:cfRule>
    <x:cfRule type="expression" dxfId="6" priority="53">
      <x:formula>$B28="日"</x:formula>
    </x:cfRule>
    <x:cfRule type="expression" dxfId="6" priority="52">
      <x:formula>$B28="土"</x:formula>
    </x:cfRule>
  </x:conditionalFormatting>
  <x:conditionalFormatting sqref="I28:I28">
    <x:cfRule type="timePeriod" dxfId="5" priority="45" timePeriod="lastMonth">
      <x:formula>AND(MONTH(I28)=MONTH(EDATE(TODAY(),0-1)),YEAR(I28)=YEAR(EDATE(TODAY(),0-1)))</x:formula>
    </x:cfRule>
    <x:cfRule type="expression" dxfId="6" priority="44">
      <x:formula>$B28="日"</x:formula>
    </x:cfRule>
    <x:cfRule type="expression" dxfId="6" priority="43">
      <x:formula>$B28="土"</x:formula>
    </x:cfRule>
  </x:conditionalFormatting>
  <x:conditionalFormatting sqref="C29:C29">
    <x:cfRule type="expression" dxfId="0" priority="300">
      <x:formula>$B29="日"</x:formula>
    </x:cfRule>
    <x:cfRule type="expression" dxfId="0" priority="299">
      <x:formula>$B29="土"</x:formula>
    </x:cfRule>
  </x:conditionalFormatting>
  <x:conditionalFormatting sqref="D29:D29">
    <x:cfRule type="expression" dxfId="0" priority="249">
      <x:formula>$B29="日"</x:formula>
    </x:cfRule>
    <x:cfRule type="expression" dxfId="0" priority="248">
      <x:formula>$B29="土"</x:formula>
    </x:cfRule>
    <x:cfRule type="timePeriod" dxfId="1" priority="247" timePeriod="lastMonth">
      <x:formula>AND(MONTH(D29)=MONTH(EDATE(TODAY(),0-1)),YEAR(D29)=YEAR(EDATE(TODAY(),0-1)))</x:formula>
    </x:cfRule>
  </x:conditionalFormatting>
  <x:conditionalFormatting sqref="E29:E29">
    <x:cfRule type="expression" dxfId="0" priority="168">
      <x:formula>$B29="日"</x:formula>
    </x:cfRule>
    <x:cfRule type="expression" dxfId="0" priority="167">
      <x:formula>$B29="土"</x:formula>
    </x:cfRule>
    <x:cfRule type="timePeriod" dxfId="1" priority="166" timePeriod="lastMonth">
      <x:formula>AND(MONTH(E29)=MONTH(EDATE(TODAY(),0-1)),YEAR(E29)=YEAR(EDATE(TODAY(),0-1)))</x:formula>
    </x:cfRule>
  </x:conditionalFormatting>
  <x:conditionalFormatting sqref="H29:H29">
    <x:cfRule type="timePeriod" dxfId="5" priority="57" timePeriod="lastMonth">
      <x:formula>AND(MONTH(H29)=MONTH(EDATE(TODAY(),0-1)),YEAR(H29)=YEAR(EDATE(TODAY(),0-1)))</x:formula>
    </x:cfRule>
    <x:cfRule type="expression" dxfId="6" priority="56">
      <x:formula>$B29="日"</x:formula>
    </x:cfRule>
    <x:cfRule type="expression" dxfId="6" priority="55">
      <x:formula>$B29="土"</x:formula>
    </x:cfRule>
  </x:conditionalFormatting>
  <x:conditionalFormatting sqref="I29:I29">
    <x:cfRule type="timePeriod" dxfId="5" priority="48" timePeriod="lastMonth">
      <x:formula>AND(MONTH(I29)=MONTH(EDATE(TODAY(),0-1)),YEAR(I29)=YEAR(EDATE(TODAY(),0-1)))</x:formula>
    </x:cfRule>
    <x:cfRule type="expression" dxfId="6" priority="47">
      <x:formula>$B29="日"</x:formula>
    </x:cfRule>
    <x:cfRule type="expression" dxfId="6" priority="46">
      <x:formula>$B29="土"</x:formula>
    </x:cfRule>
  </x:conditionalFormatting>
  <x:conditionalFormatting sqref="J29:J29">
    <x:cfRule type="timePeriod" dxfId="1" priority="687" timePeriod="lastMonth">
      <x:formula>AND(MONTH(J29)=MONTH(EDATE(TODAY(),0-1)),YEAR(J29)=YEAR(EDATE(TODAY(),0-1)))</x:formula>
    </x:cfRule>
    <x:cfRule type="expression" dxfId="0" priority="686">
      <x:formula>$B29="日"</x:formula>
    </x:cfRule>
    <x:cfRule type="expression" dxfId="0" priority="685">
      <x:formula>$B29="土"</x:formula>
    </x:cfRule>
  </x:conditionalFormatting>
  <x:conditionalFormatting sqref="K29:K29">
    <x:cfRule type="timePeriod" dxfId="1" priority="683" timePeriod="lastMonth">
      <x:formula>AND(MONTH(K29)=MONTH(EDATE(TODAY(),0-1)),YEAR(K29)=YEAR(EDATE(TODAY(),0-1)))</x:formula>
    </x:cfRule>
    <x:cfRule type="expression" dxfId="3" priority="684">
      <x:formula>WEEKDAY(K$10)=L$4</x:formula>
    </x:cfRule>
  </x:conditionalFormatting>
  <x:conditionalFormatting sqref="C30:C30">
    <x:cfRule type="expression" dxfId="0" priority="298">
      <x:formula>$B30="日"</x:formula>
    </x:cfRule>
    <x:cfRule type="expression" dxfId="0" priority="297">
      <x:formula>$B30="土"</x:formula>
    </x:cfRule>
  </x:conditionalFormatting>
  <x:conditionalFormatting sqref="D30:D30">
    <x:cfRule type="expression" dxfId="0" priority="246">
      <x:formula>$B30="日"</x:formula>
    </x:cfRule>
    <x:cfRule type="expression" dxfId="0" priority="245">
      <x:formula>$B30="土"</x:formula>
    </x:cfRule>
    <x:cfRule type="timePeriod" dxfId="1" priority="244" timePeriod="lastMonth">
      <x:formula>AND(MONTH(D30)=MONTH(EDATE(TODAY(),0-1)),YEAR(D30)=YEAR(EDATE(TODAY(),0-1)))</x:formula>
    </x:cfRule>
  </x:conditionalFormatting>
  <x:conditionalFormatting sqref="E30:E30">
    <x:cfRule type="expression" dxfId="0" priority="165">
      <x:formula>$B30="日"</x:formula>
    </x:cfRule>
    <x:cfRule type="expression" dxfId="0" priority="164">
      <x:formula>$B30="土"</x:formula>
    </x:cfRule>
    <x:cfRule type="timePeriod" dxfId="1" priority="163" timePeriod="lastMonth">
      <x:formula>AND(MONTH(E30)=MONTH(EDATE(TODAY(),0-1)),YEAR(E30)=YEAR(EDATE(TODAY(),0-1)))</x:formula>
    </x:cfRule>
  </x:conditionalFormatting>
  <x:conditionalFormatting sqref="C31:C31">
    <x:cfRule type="expression" dxfId="0" priority="296">
      <x:formula>$B31="日"</x:formula>
    </x:cfRule>
    <x:cfRule type="expression" dxfId="0" priority="295">
      <x:formula>$B31="土"</x:formula>
    </x:cfRule>
  </x:conditionalFormatting>
  <x:conditionalFormatting sqref="D31:D31">
    <x:cfRule type="expression" dxfId="0" priority="138">
      <x:formula>$B31="日"</x:formula>
    </x:cfRule>
    <x:cfRule type="expression" dxfId="0" priority="137">
      <x:formula>$B31="土"</x:formula>
    </x:cfRule>
    <x:cfRule type="timePeriod" dxfId="1" priority="136" timePeriod="lastMonth">
      <x:formula>AND(MONTH(D31)=MONTH(EDATE(TODAY(),0-1)),YEAR(D31)=YEAR(EDATE(TODAY(),0-1)))</x:formula>
    </x:cfRule>
  </x:conditionalFormatting>
  <x:conditionalFormatting sqref="E31:E31">
    <x:cfRule type="expression" dxfId="0" priority="162">
      <x:formula>$B31="日"</x:formula>
    </x:cfRule>
    <x:cfRule type="expression" dxfId="0" priority="161">
      <x:formula>$B31="土"</x:formula>
    </x:cfRule>
    <x:cfRule type="timePeriod" dxfId="1" priority="160" timePeriod="lastMonth">
      <x:formula>AND(MONTH(E31)=MONTH(EDATE(TODAY(),0-1)),YEAR(E31)=YEAR(EDATE(TODAY(),0-1)))</x:formula>
    </x:cfRule>
  </x:conditionalFormatting>
  <x:conditionalFormatting sqref="D32:D32">
    <x:cfRule type="expression" dxfId="0" priority="386">
      <x:formula>$B32="日"</x:formula>
    </x:cfRule>
    <x:cfRule type="expression" dxfId="0" priority="385">
      <x:formula>$B32="土"</x:formula>
    </x:cfRule>
    <x:cfRule type="timePeriod" dxfId="1" priority="384" timePeriod="lastMonth">
      <x:formula>AND(MONTH(D32)=MONTH(EDATE(TODAY(),0-1)),YEAR(D32)=YEAR(EDATE(TODAY(),0-1)))</x:formula>
    </x:cfRule>
  </x:conditionalFormatting>
  <x:conditionalFormatting sqref="E32:E32">
    <x:cfRule type="expression" dxfId="0" priority="159">
      <x:formula>$B32="日"</x:formula>
    </x:cfRule>
    <x:cfRule type="expression" dxfId="0" priority="158">
      <x:formula>$B32="土"</x:formula>
    </x:cfRule>
    <x:cfRule type="timePeriod" dxfId="1" priority="157" timePeriod="lastMonth">
      <x:formula>AND(MONTH(E32)=MONTH(EDATE(TODAY(),0-1)),YEAR(E32)=YEAR(EDATE(TODAY(),0-1)))</x:formula>
    </x:cfRule>
  </x:conditionalFormatting>
  <x:conditionalFormatting sqref="D33:D33">
    <x:cfRule type="expression" dxfId="0" priority="240">
      <x:formula>$B33="日"</x:formula>
    </x:cfRule>
    <x:cfRule type="expression" dxfId="0" priority="239">
      <x:formula>$B33="土"</x:formula>
    </x:cfRule>
    <x:cfRule type="timePeriod" dxfId="1" priority="238" timePeriod="lastMonth">
      <x:formula>AND(MONTH(D33)=MONTH(EDATE(TODAY(),0-1)),YEAR(D33)=YEAR(EDATE(TODAY(),0-1)))</x:formula>
    </x:cfRule>
  </x:conditionalFormatting>
  <x:conditionalFormatting sqref="E33:E33">
    <x:cfRule type="expression" dxfId="0" priority="156">
      <x:formula>$B33="日"</x:formula>
    </x:cfRule>
    <x:cfRule type="expression" dxfId="0" priority="155">
      <x:formula>$B33="土"</x:formula>
    </x:cfRule>
    <x:cfRule type="timePeriod" dxfId="1" priority="154" timePeriod="lastMonth">
      <x:formula>AND(MONTH(E33)=MONTH(EDATE(TODAY(),0-1)),YEAR(E33)=YEAR(EDATE(TODAY(),0-1)))</x:formula>
    </x:cfRule>
  </x:conditionalFormatting>
  <x:conditionalFormatting sqref="H33:H33">
    <x:cfRule type="timePeriod" dxfId="5" priority="3" timePeriod="lastMonth">
      <x:formula>AND(MONTH(H33)=MONTH(EDATE(TODAY(),0-1)),YEAR(H33)=YEAR(EDATE(TODAY(),0-1)))</x:formula>
    </x:cfRule>
    <x:cfRule type="expression" dxfId="6" priority="2">
      <x:formula>$B33="日"</x:formula>
    </x:cfRule>
    <x:cfRule type="expression" dxfId="6" priority="1">
      <x:formula>$B33="土"</x:formula>
    </x:cfRule>
  </x:conditionalFormatting>
  <x:conditionalFormatting sqref="C34:C34">
    <x:cfRule type="expression" dxfId="0" priority="418">
      <x:formula>$B34="日"</x:formula>
    </x:cfRule>
    <x:cfRule type="expression" dxfId="0" priority="417">
      <x:formula>$B34="土"</x:formula>
    </x:cfRule>
    <x:cfRule type="timePeriod" dxfId="1" priority="416" timePeriod="lastMonth">
      <x:formula>AND(MONTH(C34)=MONTH(EDATE(TODAY(),0-1)),YEAR(C34)=YEAR(EDATE(TODAY(),0-1)))</x:formula>
    </x:cfRule>
  </x:conditionalFormatting>
  <x:conditionalFormatting sqref="D34:D34">
    <x:cfRule type="expression" dxfId="0" priority="237">
      <x:formula>$B34="日"</x:formula>
    </x:cfRule>
    <x:cfRule type="expression" dxfId="0" priority="236">
      <x:formula>$B34="土"</x:formula>
    </x:cfRule>
    <x:cfRule type="timePeriod" dxfId="1" priority="235" timePeriod="lastMonth">
      <x:formula>AND(MONTH(D34)=MONTH(EDATE(TODAY(),0-1)),YEAR(D34)=YEAR(EDATE(TODAY(),0-1)))</x:formula>
    </x:cfRule>
  </x:conditionalFormatting>
  <x:conditionalFormatting sqref="E34:E34">
    <x:cfRule type="expression" dxfId="0" priority="153">
      <x:formula>$B34="日"</x:formula>
    </x:cfRule>
    <x:cfRule type="expression" dxfId="0" priority="152">
      <x:formula>$B34="土"</x:formula>
    </x:cfRule>
    <x:cfRule type="timePeriod" dxfId="1" priority="151" timePeriod="lastMonth">
      <x:formula>AND(MONTH(E34)=MONTH(EDATE(TODAY(),0-1)),YEAR(E34)=YEAR(EDATE(TODAY(),0-1)))</x:formula>
    </x:cfRule>
  </x:conditionalFormatting>
  <x:conditionalFormatting sqref="H34:H34">
    <x:cfRule type="timePeriod" dxfId="1" priority="344" timePeriod="lastMonth">
      <x:formula>AND(MONTH(H34)=MONTH(EDATE(TODAY(),0-1)),YEAR(H34)=YEAR(EDATE(TODAY(),0-1)))</x:formula>
    </x:cfRule>
    <x:cfRule type="expression" dxfId="0" priority="343">
      <x:formula>$B34="日"</x:formula>
    </x:cfRule>
    <x:cfRule type="expression" dxfId="0" priority="342">
      <x:formula>$B34="土"</x:formula>
    </x:cfRule>
  </x:conditionalFormatting>
  <x:conditionalFormatting sqref="I34:I34">
    <x:cfRule type="timePeriod" dxfId="1" priority="350" timePeriod="lastMonth">
      <x:formula>AND(MONTH(I34)=MONTH(EDATE(TODAY(),0-1)),YEAR(I34)=YEAR(EDATE(TODAY(),0-1)))</x:formula>
    </x:cfRule>
    <x:cfRule type="expression" dxfId="0" priority="349">
      <x:formula>$B34="日"</x:formula>
    </x:cfRule>
    <x:cfRule type="expression" dxfId="0" priority="348">
      <x:formula>$B34="土"</x:formula>
    </x:cfRule>
  </x:conditionalFormatting>
  <x:conditionalFormatting sqref="J34:J34">
    <x:cfRule type="timePeriod" dxfId="1" priority="668" timePeriod="lastMonth">
      <x:formula>AND(MONTH(J34)=MONTH(EDATE(TODAY(),0-1)),YEAR(J34)=YEAR(EDATE(TODAY(),0-1)))</x:formula>
    </x:cfRule>
    <x:cfRule type="expression" dxfId="0" priority="667">
      <x:formula>$B34="日"</x:formula>
    </x:cfRule>
    <x:cfRule type="expression" dxfId="0" priority="666">
      <x:formula>$B34="土"</x:formula>
    </x:cfRule>
  </x:conditionalFormatting>
  <x:conditionalFormatting sqref="K34:K34">
    <x:cfRule type="timePeriod" dxfId="1" priority="664" timePeriod="lastMonth">
      <x:formula>AND(MONTH(K34)=MONTH(EDATE(TODAY(),0-1)),YEAR(K34)=YEAR(EDATE(TODAY(),0-1)))</x:formula>
    </x:cfRule>
    <x:cfRule type="expression" dxfId="3" priority="665">
      <x:formula>WEEKDAY(K$10)=L$4</x:formula>
    </x:cfRule>
  </x:conditionalFormatting>
  <x:conditionalFormatting sqref="C35:C35">
    <x:cfRule type="expression" dxfId="0" priority="415">
      <x:formula>$B35="日"</x:formula>
    </x:cfRule>
    <x:cfRule type="expression" dxfId="0" priority="414">
      <x:formula>$B35="土"</x:formula>
    </x:cfRule>
    <x:cfRule type="timePeriod" dxfId="1" priority="413" timePeriod="lastMonth">
      <x:formula>AND(MONTH(C35)=MONTH(EDATE(TODAY(),0-1)),YEAR(C35)=YEAR(EDATE(TODAY(),0-1)))</x:formula>
    </x:cfRule>
  </x:conditionalFormatting>
  <x:conditionalFormatting sqref="D35:D35">
    <x:cfRule type="expression" dxfId="0" priority="225">
      <x:formula>$B35="日"</x:formula>
    </x:cfRule>
    <x:cfRule type="expression" dxfId="0" priority="224">
      <x:formula>$B35="土"</x:formula>
    </x:cfRule>
    <x:cfRule type="timePeriod" dxfId="1" priority="223" timePeriod="lastMonth">
      <x:formula>AND(MONTH(D35)=MONTH(EDATE(TODAY(),0-1)),YEAR(D35)=YEAR(EDATE(TODAY(),0-1)))</x:formula>
    </x:cfRule>
  </x:conditionalFormatting>
  <x:conditionalFormatting sqref="E35:E35">
    <x:cfRule type="expression" dxfId="0" priority="150">
      <x:formula>$B35="日"</x:formula>
    </x:cfRule>
    <x:cfRule type="expression" dxfId="0" priority="149">
      <x:formula>$B35="土"</x:formula>
    </x:cfRule>
    <x:cfRule type="timePeriod" dxfId="1" priority="148" timePeriod="lastMonth">
      <x:formula>AND(MONTH(E35)=MONTH(EDATE(TODAY(),0-1)),YEAR(E35)=YEAR(EDATE(TODAY(),0-1)))</x:formula>
    </x:cfRule>
  </x:conditionalFormatting>
  <x:conditionalFormatting sqref="H35:H35">
    <x:cfRule type="timePeriod" dxfId="5" priority="39" timePeriod="lastMonth">
      <x:formula>AND(MONTH(H35)=MONTH(EDATE(TODAY(),0-1)),YEAR(H35)=YEAR(EDATE(TODAY(),0-1)))</x:formula>
    </x:cfRule>
    <x:cfRule type="expression" dxfId="6" priority="38">
      <x:formula>$B35="日"</x:formula>
    </x:cfRule>
    <x:cfRule type="expression" dxfId="6" priority="37">
      <x:formula>$B35="土"</x:formula>
    </x:cfRule>
  </x:conditionalFormatting>
  <x:conditionalFormatting sqref="I35:I35">
    <x:cfRule type="timePeriod" dxfId="5" priority="30" timePeriod="lastMonth">
      <x:formula>AND(MONTH(I35)=MONTH(EDATE(TODAY(),0-1)),YEAR(I35)=YEAR(EDATE(TODAY(),0-1)))</x:formula>
    </x:cfRule>
    <x:cfRule type="expression" dxfId="6" priority="29">
      <x:formula>$B35="日"</x:formula>
    </x:cfRule>
    <x:cfRule type="expression" dxfId="6" priority="28">
      <x:formula>$B35="土"</x:formula>
    </x:cfRule>
  </x:conditionalFormatting>
  <x:conditionalFormatting sqref="J35:J35">
    <x:cfRule type="timePeriod" dxfId="1" priority="663" timePeriod="lastMonth">
      <x:formula>AND(MONTH(J35)=MONTH(EDATE(TODAY(),0-1)),YEAR(J35)=YEAR(EDATE(TODAY(),0-1)))</x:formula>
    </x:cfRule>
    <x:cfRule type="expression" dxfId="0" priority="662">
      <x:formula>$B35="日"</x:formula>
    </x:cfRule>
    <x:cfRule type="expression" dxfId="0" priority="661">
      <x:formula>$B35="土"</x:formula>
    </x:cfRule>
  </x:conditionalFormatting>
  <x:conditionalFormatting sqref="K35:K35">
    <x:cfRule type="timePeriod" dxfId="1" priority="659" timePeriod="lastMonth">
      <x:formula>AND(MONTH(K35)=MONTH(EDATE(TODAY(),0-1)),YEAR(K35)=YEAR(EDATE(TODAY(),0-1)))</x:formula>
    </x:cfRule>
    <x:cfRule type="expression" dxfId="3" priority="660">
      <x:formula>WEEKDAY(K$10)=L$4</x:formula>
    </x:cfRule>
  </x:conditionalFormatting>
  <x:conditionalFormatting sqref="C36:C36">
    <x:cfRule type="expression" dxfId="0" priority="294">
      <x:formula>$B36="日"</x:formula>
    </x:cfRule>
    <x:cfRule type="expression" dxfId="0" priority="293">
      <x:formula>$B36="土"</x:formula>
    </x:cfRule>
  </x:conditionalFormatting>
  <x:conditionalFormatting sqref="D36:D36">
    <x:cfRule type="expression" dxfId="0" priority="231">
      <x:formula>$B36="日"</x:formula>
    </x:cfRule>
    <x:cfRule type="expression" dxfId="0" priority="230">
      <x:formula>$B36="土"</x:formula>
    </x:cfRule>
    <x:cfRule type="timePeriod" dxfId="1" priority="229" timePeriod="lastMonth">
      <x:formula>AND(MONTH(D36)=MONTH(EDATE(TODAY(),0-1)),YEAR(D36)=YEAR(EDATE(TODAY(),0-1)))</x:formula>
    </x:cfRule>
  </x:conditionalFormatting>
  <x:conditionalFormatting sqref="E36:E36">
    <x:cfRule type="expression" dxfId="0" priority="147">
      <x:formula>$B36="日"</x:formula>
    </x:cfRule>
    <x:cfRule type="expression" dxfId="0" priority="146">
      <x:formula>$B36="土"</x:formula>
    </x:cfRule>
    <x:cfRule type="timePeriod" dxfId="1" priority="145" timePeriod="lastMonth">
      <x:formula>AND(MONTH(E36)=MONTH(EDATE(TODAY(),0-1)),YEAR(E36)=YEAR(EDATE(TODAY(),0-1)))</x:formula>
    </x:cfRule>
  </x:conditionalFormatting>
  <x:conditionalFormatting sqref="H36:H36">
    <x:cfRule type="timePeriod" dxfId="5" priority="36" timePeriod="lastMonth">
      <x:formula>AND(MONTH(H36)=MONTH(EDATE(TODAY(),0-1)),YEAR(H36)=YEAR(EDATE(TODAY(),0-1)))</x:formula>
    </x:cfRule>
    <x:cfRule type="expression" dxfId="6" priority="35">
      <x:formula>$B36="日"</x:formula>
    </x:cfRule>
    <x:cfRule type="expression" dxfId="6" priority="34">
      <x:formula>$B36="土"</x:formula>
    </x:cfRule>
  </x:conditionalFormatting>
  <x:conditionalFormatting sqref="I36:I36">
    <x:cfRule type="timePeriod" dxfId="5" priority="27" timePeriod="lastMonth">
      <x:formula>AND(MONTH(I36)=MONTH(EDATE(TODAY(),0-1)),YEAR(I36)=YEAR(EDATE(TODAY(),0-1)))</x:formula>
    </x:cfRule>
    <x:cfRule type="expression" dxfId="6" priority="26">
      <x:formula>$B36="日"</x:formula>
    </x:cfRule>
    <x:cfRule type="expression" dxfId="6" priority="25">
      <x:formula>$B36="土"</x:formula>
    </x:cfRule>
  </x:conditionalFormatting>
  <x:conditionalFormatting sqref="J36:J36">
    <x:cfRule type="timePeriod" dxfId="1" priority="682" timePeriod="lastMonth">
      <x:formula>AND(MONTH(J36)=MONTH(EDATE(TODAY(),0-1)),YEAR(J36)=YEAR(EDATE(TODAY(),0-1)))</x:formula>
    </x:cfRule>
    <x:cfRule type="expression" dxfId="0" priority="681">
      <x:formula>$B36="日"</x:formula>
    </x:cfRule>
    <x:cfRule type="expression" dxfId="0" priority="680">
      <x:formula>$B36="土"</x:formula>
    </x:cfRule>
  </x:conditionalFormatting>
  <x:conditionalFormatting sqref="K36:K36">
    <x:cfRule type="timePeriod" dxfId="1" priority="678" timePeriod="lastMonth">
      <x:formula>AND(MONTH(K36)=MONTH(EDATE(TODAY(),0-1)),YEAR(K36)=YEAR(EDATE(TODAY(),0-1)))</x:formula>
    </x:cfRule>
    <x:cfRule type="expression" dxfId="3" priority="679">
      <x:formula>WEEKDAY(K$10)=L$4</x:formula>
    </x:cfRule>
  </x:conditionalFormatting>
  <x:conditionalFormatting sqref="C37:C37">
    <x:cfRule type="expression" dxfId="0" priority="292">
      <x:formula>$B37="日"</x:formula>
    </x:cfRule>
    <x:cfRule type="expression" dxfId="0" priority="291">
      <x:formula>$B37="土"</x:formula>
    </x:cfRule>
  </x:conditionalFormatting>
  <x:conditionalFormatting sqref="D37:D37">
    <x:cfRule type="expression" dxfId="0" priority="234">
      <x:formula>$B37="日"</x:formula>
    </x:cfRule>
    <x:cfRule type="expression" dxfId="0" priority="233">
      <x:formula>$B37="土"</x:formula>
    </x:cfRule>
    <x:cfRule type="timePeriod" dxfId="1" priority="232" timePeriod="lastMonth">
      <x:formula>AND(MONTH(D37)=MONTH(EDATE(TODAY(),0-1)),YEAR(D37)=YEAR(EDATE(TODAY(),0-1)))</x:formula>
    </x:cfRule>
  </x:conditionalFormatting>
  <x:conditionalFormatting sqref="E37:E37">
    <x:cfRule type="expression" dxfId="0" priority="144">
      <x:formula>$B37="日"</x:formula>
    </x:cfRule>
    <x:cfRule type="expression" dxfId="0" priority="143">
      <x:formula>$B37="土"</x:formula>
    </x:cfRule>
    <x:cfRule type="timePeriod" dxfId="1" priority="142" timePeriod="lastMonth">
      <x:formula>AND(MONTH(E37)=MONTH(EDATE(TODAY(),0-1)),YEAR(E37)=YEAR(EDATE(TODAY(),0-1)))</x:formula>
    </x:cfRule>
  </x:conditionalFormatting>
  <x:conditionalFormatting sqref="H37:H37">
    <x:cfRule type="timePeriod" dxfId="5" priority="33" timePeriod="lastMonth">
      <x:formula>AND(MONTH(H37)=MONTH(EDATE(TODAY(),0-1)),YEAR(H37)=YEAR(EDATE(TODAY(),0-1)))</x:formula>
    </x:cfRule>
    <x:cfRule type="expression" dxfId="6" priority="32">
      <x:formula>$B37="日"</x:formula>
    </x:cfRule>
    <x:cfRule type="expression" dxfId="6" priority="31">
      <x:formula>$B37="土"</x:formula>
    </x:cfRule>
  </x:conditionalFormatting>
  <x:conditionalFormatting sqref="I37:I37">
    <x:cfRule type="timePeriod" dxfId="5" priority="24" timePeriod="lastMonth">
      <x:formula>AND(MONTH(I37)=MONTH(EDATE(TODAY(),0-1)),YEAR(I37)=YEAR(EDATE(TODAY(),0-1)))</x:formula>
    </x:cfRule>
    <x:cfRule type="expression" dxfId="6" priority="23">
      <x:formula>$B37="日"</x:formula>
    </x:cfRule>
    <x:cfRule type="expression" dxfId="6" priority="22">
      <x:formula>$B37="土"</x:formula>
    </x:cfRule>
  </x:conditionalFormatting>
  <x:conditionalFormatting sqref="J37:J37">
    <x:cfRule type="expression" dxfId="0" priority="675">
      <x:formula>$B37="土"</x:formula>
    </x:cfRule>
    <x:cfRule type="expression" dxfId="0" priority="676">
      <x:formula>$B37="日"</x:formula>
    </x:cfRule>
    <x:cfRule type="timePeriod" dxfId="1" priority="677" timePeriod="lastMonth">
      <x:formula>AND(MONTH(J37)=MONTH(EDATE(TODAY(),0-1)),YEAR(J37)=YEAR(EDATE(TODAY(),0-1)))</x:formula>
    </x:cfRule>
  </x:conditionalFormatting>
  <x:conditionalFormatting sqref="K37:K37">
    <x:cfRule type="timePeriod" dxfId="1" priority="673" timePeriod="lastMonth">
      <x:formula>AND(MONTH(K37)=MONTH(EDATE(TODAY(),0-1)),YEAR(K37)=YEAR(EDATE(TODAY(),0-1)))</x:formula>
    </x:cfRule>
    <x:cfRule type="expression" dxfId="3" priority="674">
      <x:formula>WEEKDAY(K$10)=L$4</x:formula>
    </x:cfRule>
  </x:conditionalFormatting>
  <x:conditionalFormatting sqref="A23:A27">
    <x:cfRule type="expression" dxfId="0" priority="656">
      <x:formula>$B23="日"</x:formula>
    </x:cfRule>
    <x:cfRule type="expression" dxfId="0" priority="655">
      <x:formula>$B23="土"</x:formula>
    </x:cfRule>
  </x:conditionalFormatting>
  <x:conditionalFormatting sqref="B23:B24">
    <x:cfRule type="expression" dxfId="0" priority="714">
      <x:formula>$B23="日"</x:formula>
    </x:cfRule>
    <x:cfRule type="expression" dxfId="0" priority="713">
      <x:formula>$B23="土"</x:formula>
    </x:cfRule>
  </x:conditionalFormatting>
  <x:conditionalFormatting sqref="C32:C33">
    <x:cfRule type="expression" dxfId="0" priority="406">
      <x:formula>$B32="日"</x:formula>
    </x:cfRule>
    <x:cfRule type="expression" dxfId="0" priority="405">
      <x:formula>$B32="土"</x:formula>
    </x:cfRule>
  </x:conditionalFormatting>
  <x:conditionalFormatting sqref="D18:D19">
    <x:cfRule type="expression" dxfId="0" priority="398">
      <x:formula>$B18="日"</x:formula>
    </x:cfRule>
    <x:cfRule type="expression" dxfId="0" priority="397">
      <x:formula>$B18="土"</x:formula>
    </x:cfRule>
    <x:cfRule type="timePeriod" dxfId="1" priority="396" timePeriod="lastMonth">
      <x:formula>AND(MONTH(D18)=MONTH(EDATE(TODAY(),0-1)),YEAR(D18)=YEAR(EDATE(TODAY(),0-1)))</x:formula>
    </x:cfRule>
  </x:conditionalFormatting>
  <x:conditionalFormatting sqref="D25:D28">
    <x:cfRule type="expression" dxfId="0" priority="392">
      <x:formula>$B25="日"</x:formula>
    </x:cfRule>
    <x:cfRule type="expression" dxfId="0" priority="391">
      <x:formula>$B25="土"</x:formula>
    </x:cfRule>
    <x:cfRule type="timePeriod" dxfId="1" priority="390" timePeriod="lastMonth">
      <x:formula>AND(MONTH(D25)=MONTH(EDATE(TODAY(),0-1)),YEAR(D25)=YEAR(EDATE(TODAY(),0-1)))</x:formula>
    </x:cfRule>
  </x:conditionalFormatting>
  <x:conditionalFormatting sqref="E19:E23">
    <x:cfRule type="expression" dxfId="0" priority="186">
      <x:formula>$B19="日"</x:formula>
    </x:cfRule>
    <x:cfRule type="expression" dxfId="0" priority="185">
      <x:formula>$B19="土"</x:formula>
    </x:cfRule>
    <x:cfRule type="timePeriod" dxfId="1" priority="184" timePeriod="lastMonth">
      <x:formula>AND(MONTH(E19)=MONTH(EDATE(TODAY(),0-1)),YEAR(E19)=YEAR(EDATE(TODAY(),0-1)))</x:formula>
    </x:cfRule>
  </x:conditionalFormatting>
  <x:conditionalFormatting sqref="F8:F37">
    <x:cfRule type="timePeriod" dxfId="1" priority="577" timePeriod="lastMonth">
      <x:formula>AND(MONTH(F8)=MONTH(EDATE(TODAY(),0-1)),YEAR(F8)=YEAR(EDATE(TODAY(),0-1)))</x:formula>
    </x:cfRule>
    <x:cfRule type="expression" dxfId="0" priority="578">
      <x:formula>$B8="土"</x:formula>
    </x:cfRule>
    <x:cfRule type="expression" dxfId="0" priority="579">
      <x:formula>$B8="日"</x:formula>
    </x:cfRule>
  </x:conditionalFormatting>
  <x:conditionalFormatting sqref="G8:G37">
    <x:cfRule type="expression" dxfId="3" priority="600">
      <x:formula>$B8="土"</x:formula>
    </x:cfRule>
    <x:cfRule type="expression" dxfId="3" priority="601">
      <x:formula>$B8="日"</x:formula>
    </x:cfRule>
    <x:cfRule type="timePeriod" dxfId="1" priority="602" timePeriod="lastMonth">
      <x:formula>AND(MONTH(G8)=MONTH(EDATE(TODAY(),0-1)),YEAR(G8)=YEAR(EDATE(TODAY(),0-1)))</x:formula>
    </x:cfRule>
  </x:conditionalFormatting>
  <x:conditionalFormatting sqref="H30:H32">
    <x:cfRule type="timePeriod" dxfId="5" priority="51" timePeriod="lastMonth">
      <x:formula>AND(MONTH(H30)=MONTH(EDATE(TODAY(),0-1)),YEAR(H30)=YEAR(EDATE(TODAY(),0-1)))</x:formula>
    </x:cfRule>
    <x:cfRule type="expression" dxfId="6" priority="50">
      <x:formula>$B30="日"</x:formula>
    </x:cfRule>
    <x:cfRule type="expression" dxfId="6" priority="49">
      <x:formula>$B30="土"</x:formula>
    </x:cfRule>
  </x:conditionalFormatting>
  <x:conditionalFormatting sqref="I30:I33">
    <x:cfRule type="timePeriod" dxfId="5" priority="42" timePeriod="lastMonth">
      <x:formula>AND(MONTH(I30)=MONTH(EDATE(TODAY(),0-1)),YEAR(I30)=YEAR(EDATE(TODAY(),0-1)))</x:formula>
    </x:cfRule>
    <x:cfRule type="expression" dxfId="6" priority="41">
      <x:formula>$B30="日"</x:formula>
    </x:cfRule>
    <x:cfRule type="expression" dxfId="6" priority="40">
      <x:formula>$B30="土"</x:formula>
    </x:cfRule>
  </x:conditionalFormatting>
  <x:conditionalFormatting sqref="J23:J28">
    <x:cfRule type="expression" dxfId="0" priority="654">
      <x:formula>$B23="日"</x:formula>
    </x:cfRule>
    <x:cfRule type="expression" dxfId="0" priority="653">
      <x:formula>$B23="土"</x:formula>
    </x:cfRule>
    <x:cfRule type="timePeriod" dxfId="1" priority="652" timePeriod="lastMonth">
      <x:formula>AND(MONTH(J23)=MONTH(EDATE(TODAY(),0-1)),YEAR(J23)=YEAR(EDATE(TODAY(),0-1)))</x:formula>
    </x:cfRule>
  </x:conditionalFormatting>
  <x:conditionalFormatting sqref="J30:J33">
    <x:cfRule type="timePeriod" dxfId="1" priority="638" timePeriod="lastMonth">
      <x:formula>AND(MONTH(J30)=MONTH(EDATE(TODAY(),0-1)),YEAR(J30)=YEAR(EDATE(TODAY(),0-1)))</x:formula>
    </x:cfRule>
    <x:cfRule type="expression" dxfId="0" priority="637">
      <x:formula>$B30="日"</x:formula>
    </x:cfRule>
    <x:cfRule type="expression" dxfId="0" priority="636">
      <x:formula>$B30="土"</x:formula>
    </x:cfRule>
  </x:conditionalFormatting>
  <x:conditionalFormatting sqref="K9:K10">
    <x:cfRule type="timePeriod" dxfId="1" priority="693" timePeriod="lastMonth">
      <x:formula>AND(MONTH(K9)=MONTH(EDATE(TODAY(),0-1)),YEAR(K9)=YEAR(EDATE(TODAY(),0-1)))</x:formula>
    </x:cfRule>
    <x:cfRule type="expression" dxfId="3" priority="694">
      <x:formula>WEEKDAY(K$10)=L$4</x:formula>
    </x:cfRule>
  </x:conditionalFormatting>
  <x:conditionalFormatting sqref="K11:K12">
    <x:cfRule type="timePeriod" dxfId="1" priority="620" timePeriod="lastMonth">
      <x:formula>AND(MONTH(K11)=MONTH(EDATE(TODAY(),0-1)),YEAR(K11)=YEAR(EDATE(TODAY(),0-1)))</x:formula>
    </x:cfRule>
    <x:cfRule type="expression" dxfId="0" priority="619">
      <x:formula>$B11="日"</x:formula>
    </x:cfRule>
    <x:cfRule type="expression" dxfId="0" priority="618">
      <x:formula>$B11="土"</x:formula>
    </x:cfRule>
  </x:conditionalFormatting>
  <x:conditionalFormatting sqref="K23:K24">
    <x:cfRule type="timePeriod" dxfId="1" priority="632" timePeriod="lastMonth">
      <x:formula>AND(MONTH(K23)=MONTH(EDATE(TODAY(),0-1)),YEAR(K23)=YEAR(EDATE(TODAY(),0-1)))</x:formula>
    </x:cfRule>
    <x:cfRule type="expression" dxfId="3" priority="633">
      <x:formula>WEEKDAY(K$10)=L$4</x:formula>
    </x:cfRule>
  </x:conditionalFormatting>
  <x:conditionalFormatting sqref="K25:K28">
    <x:cfRule type="timePeriod" dxfId="1" priority="614" timePeriod="lastMonth">
      <x:formula>AND(MONTH(K25)=MONTH(EDATE(TODAY(),0-1)),YEAR(K25)=YEAR(EDATE(TODAY(),0-1)))</x:formula>
    </x:cfRule>
    <x:cfRule type="expression" dxfId="0" priority="613">
      <x:formula>$B25="日"</x:formula>
    </x:cfRule>
    <x:cfRule type="expression" dxfId="0" priority="612">
      <x:formula>$B25="土"</x:formula>
    </x:cfRule>
  </x:conditionalFormatting>
  <x:conditionalFormatting sqref="K30:K31">
    <x:cfRule type="timePeriod" dxfId="1" priority="634" timePeriod="lastMonth">
      <x:formula>AND(MONTH(K30)=MONTH(EDATE(TODAY(),0-1)),YEAR(K30)=YEAR(EDATE(TODAY(),0-1)))</x:formula>
    </x:cfRule>
    <x:cfRule type="expression" dxfId="3" priority="635">
      <x:formula>WEEKDAY(K$10)=L$4</x:formula>
    </x:cfRule>
  </x:conditionalFormatting>
  <x:conditionalFormatting sqref="K32:K33">
    <x:cfRule type="timePeriod" dxfId="1" priority="611" timePeriod="lastMonth">
      <x:formula>AND(MONTH(K32)=MONTH(EDATE(TODAY(),0-1)),YEAR(K32)=YEAR(EDATE(TODAY(),0-1)))</x:formula>
    </x:cfRule>
    <x:cfRule type="expression" dxfId="0" priority="610">
      <x:formula>$B32="日"</x:formula>
    </x:cfRule>
    <x:cfRule type="expression" dxfId="0" priority="609">
      <x:formula>$B32="土"</x:formula>
    </x:cfRule>
  </x:conditionalFormatting>
  <x:conditionalFormatting sqref="A8:B17 A22:B22 A19:B20">
    <x:cfRule type="expression" dxfId="0" priority="716">
      <x:formula>$B8="日"</x:formula>
    </x:cfRule>
    <x:cfRule type="expression" dxfId="0" priority="715">
      <x:formula>$B8="土"</x:formula>
    </x:cfRule>
  </x:conditionalFormatting>
  <x:conditionalFormatting sqref="B8:B17 B19:B20 B22:B37">
    <x:cfRule type="timePeriod" dxfId="1" priority="717" timePeriod="lastMonth">
      <x:formula>AND(MONTH(B8)=MONTH(EDATE(TODAY(),0-1)),YEAR(B8)=YEAR(EDATE(TODAY(),0-1)))</x:formula>
    </x:cfRule>
  </x:conditionalFormatting>
  <x:conditionalFormatting sqref="C8:C8 J8:J8">
    <x:cfRule type="expression" dxfId="0" priority="604">
      <x:formula>$B8="日"</x:formula>
    </x:cfRule>
    <x:cfRule type="expression" dxfId="0" priority="603">
      <x:formula>$B8="土"</x:formula>
    </x:cfRule>
  </x:conditionalFormatting>
  <x:conditionalFormatting sqref="J10:J12 J14:J14">
    <x:cfRule type="timePeriod" dxfId="1" priority="703" timePeriod="lastMonth">
      <x:formula>AND(MONTH(J10)=MONTH(EDATE(TODAY(),0-1)),YEAR(J10)=YEAR(EDATE(TODAY(),0-1)))</x:formula>
    </x:cfRule>
    <x:cfRule type="expression" dxfId="0" priority="702">
      <x:formula>$B10="日"</x:formula>
    </x:cfRule>
    <x:cfRule type="expression" dxfId="0" priority="701">
      <x:formula>$B10="土"</x:formula>
    </x:cfRule>
  </x:conditionalFormatting>
  <x:conditionalFormatting sqref="H19:H19 J16:J17 J19:J20">
    <x:cfRule type="timePeriod" dxfId="1" priority="646" timePeriod="lastMonth">
      <x:formula>AND(MONTH(H16)=MONTH(EDATE(TODAY(),0-1)),YEAR(H16)=YEAR(EDATE(TODAY(),0-1)))</x:formula>
    </x:cfRule>
    <x:cfRule type="expression" dxfId="0" priority="645">
      <x:formula>$B16="日"</x:formula>
    </x:cfRule>
    <x:cfRule type="expression" dxfId="0" priority="644">
      <x:formula>$B16="土"</x:formula>
    </x:cfRule>
  </x:conditionalFormatting>
  <x:conditionalFormatting sqref="K16:K17 K20:K20">
    <x:cfRule type="timePeriod" dxfId="1" priority="642" timePeriod="lastMonth">
      <x:formula>AND(MONTH(K16)=MONTH(EDATE(TODAY(),0-1)),YEAR(K16)=YEAR(EDATE(TODAY(),0-1)))</x:formula>
    </x:cfRule>
    <x:cfRule type="expression" dxfId="3" priority="643">
      <x:formula>WEEKDAY(K$10)=L$4</x:formula>
    </x:cfRule>
  </x:conditionalFormatting>
  <x:conditionalFormatting sqref="A28:B29 B25:B27 A37:B37">
    <x:cfRule type="expression" dxfId="0" priority="709">
      <x:formula>$B25="土"</x:formula>
    </x:cfRule>
    <x:cfRule type="expression" dxfId="0" priority="710">
      <x:formula>$B25="日"</x:formula>
    </x:cfRule>
  </x:conditionalFormatting>
  <x:conditionalFormatting sqref="A30:B31">
    <x:cfRule type="expression" dxfId="0" priority="712">
      <x:formula>$B30="日"</x:formula>
    </x:cfRule>
    <x:cfRule type="expression" dxfId="0" priority="711">
      <x:formula>$B30="土"</x:formula>
    </x:cfRule>
  </x:conditionalFormatting>
  <x:conditionalFormatting sqref="A32:B36">
    <x:cfRule type="expression" dxfId="0" priority="708">
      <x:formula>$B32="日"</x:formula>
    </x:cfRule>
    <x:cfRule type="expression" dxfId="0" priority="707">
      <x:formula>$B32="土"</x:formula>
    </x:cfRule>
  </x:conditionalFormatting>
  <x:conditionalFormatting sqref="A8:K38">
    <x:cfRule type="expression" dxfId="7" priority="718">
      <x:formula>AND(ISNUMBER($A8),WEEKDAY($A8,2)&gt;5)</x:formula>
    </x:cfRule>
    <x:cfRule type="expression" dxfId="8" priority="719">
      <x:formula>$A8=""</x:formula>
    </x:cfRule>
  </x:conditionalFormatting>
  <x:pageMargins left="0.7" right="0.7" top="0.75" bottom="0.75" header="0.3" footer="0.3"/>
</x:worksheet>
</file>